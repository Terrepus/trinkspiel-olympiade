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_rels/sheet10.xml.rels" ContentType="application/vnd.openxmlformats-package.relationships+xml"/>
  <Override PartName="/xl/worksheets/_rels/sheet13.xml.rels" ContentType="application/vnd.openxmlformats-package.relationship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0"/>
  </bookViews>
  <sheets>
    <sheet name="Summe_Punkte" sheetId="1" state="visible" r:id="rId3"/>
    <sheet name="Olympiade_1" sheetId="2" state="visible" r:id="rId4"/>
    <sheet name="Olympiade_2" sheetId="3" state="visible" r:id="rId5"/>
    <sheet name="Olympiade_3" sheetId="4" state="visible" r:id="rId6"/>
    <sheet name="Olympiade_4" sheetId="5" state="visible" r:id="rId7"/>
    <sheet name="Olympiade_5" sheetId="6" state="visible" r:id="rId8"/>
    <sheet name="Olympiade_6" sheetId="7" state="visible" r:id="rId9"/>
    <sheet name="Olympiade_7" sheetId="8" state="visible" r:id="rId10"/>
    <sheet name="Olympiade_8" sheetId="9" state="visible" r:id="rId11"/>
    <sheet name="Durchschnitt" sheetId="10" state="visible" r:id="rId12"/>
    <sheet name="Medaillen" sheetId="11" state="visible" r:id="rId13"/>
    <sheet name="Database" sheetId="12" state="visible" r:id="rId14"/>
    <sheet name="Platzierungen alle Olympiaden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<sst xmlns="http://schemas.openxmlformats.org/spreadsheetml/2006/main" count="669" uniqueCount="93">
  <si>
    <t xml:space="preserve">Platzierung</t>
  </si>
  <si>
    <t xml:space="preserve">Name</t>
  </si>
  <si>
    <t xml:space="preserve">Flunkyball</t>
  </si>
  <si>
    <t xml:space="preserve">Beerpong</t>
  </si>
  <si>
    <t xml:space="preserve">Flipcup</t>
  </si>
  <si>
    <t xml:space="preserve">Gesamtpunkte</t>
  </si>
  <si>
    <t xml:space="preserve">Jonas</t>
  </si>
  <si>
    <t xml:space="preserve">Richard</t>
  </si>
  <si>
    <t xml:space="preserve">Jannes</t>
  </si>
  <si>
    <t xml:space="preserve">Hannah</t>
  </si>
  <si>
    <t xml:space="preserve">Till</t>
  </si>
  <si>
    <t xml:space="preserve">Georg</t>
  </si>
  <si>
    <t xml:space="preserve">Elias</t>
  </si>
  <si>
    <t xml:space="preserve">Roman</t>
  </si>
  <si>
    <t xml:space="preserve">Carl</t>
  </si>
  <si>
    <t xml:space="preserve">Siggi</t>
  </si>
  <si>
    <t xml:space="preserve">Jason</t>
  </si>
  <si>
    <t xml:space="preserve">Fabian</t>
  </si>
  <si>
    <t xml:space="preserve">Bruno</t>
  </si>
  <si>
    <t xml:space="preserve">Robin</t>
  </si>
  <si>
    <t xml:space="preserve">Melli</t>
  </si>
  <si>
    <t xml:space="preserve">Marc</t>
  </si>
  <si>
    <t xml:space="preserve">Amelie</t>
  </si>
  <si>
    <t xml:space="preserve">Doro</t>
  </si>
  <si>
    <t xml:space="preserve">Lorenz</t>
  </si>
  <si>
    <t xml:space="preserve">Oskar</t>
  </si>
  <si>
    <t xml:space="preserve">Matthias</t>
  </si>
  <si>
    <t xml:space="preserve">Mo</t>
  </si>
  <si>
    <t xml:space="preserve">Anton</t>
  </si>
  <si>
    <t xml:space="preserve">Anna</t>
  </si>
  <si>
    <t xml:space="preserve">Theo</t>
  </si>
  <si>
    <t xml:space="preserve">Basti</t>
  </si>
  <si>
    <t xml:space="preserve">Jochen</t>
  </si>
  <si>
    <t xml:space="preserve">Lina</t>
  </si>
  <si>
    <t xml:space="preserve">Luisa</t>
  </si>
  <si>
    <t xml:space="preserve">Tim</t>
  </si>
  <si>
    <t xml:space="preserve">Lukas</t>
  </si>
  <si>
    <t xml:space="preserve">Moritz</t>
  </si>
  <si>
    <t xml:space="preserve">Lena</t>
  </si>
  <si>
    <t xml:space="preserve">Artur</t>
  </si>
  <si>
    <t xml:space="preserve">Charlie</t>
  </si>
  <si>
    <t xml:space="preserve">Flunkyball-Rank</t>
  </si>
  <si>
    <t xml:space="preserve">Beerpong-Rank</t>
  </si>
  <si>
    <t xml:space="preserve">Flipcup-Rank</t>
  </si>
  <si>
    <t xml:space="preserve">Spieleranzahl</t>
  </si>
  <si>
    <t xml:space="preserve">Gesamtplatzierung</t>
  </si>
  <si>
    <t xml:space="preserve">Durchschnittsplatzierung</t>
  </si>
  <si>
    <t xml:space="preserve">Teilgenommen</t>
  </si>
  <si>
    <t xml:space="preserve">Durchschnittswert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</si>
  <si>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</si>
  <si>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</si>
  <si>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</si>
  <si>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</si>
  <si>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</si>
  <si>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</si>
  <si>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</si>
  <si>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</si>
  <si>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Arthur</t>
  </si>
  <si>
    <t xml:space="preserve">Flunkyball_1st</t>
  </si>
  <si>
    <t xml:space="preserve">Flunkyball_2nd</t>
  </si>
  <si>
    <t xml:space="preserve">Flunkyball_3rd</t>
  </si>
  <si>
    <t xml:space="preserve">Flunkyball_Gesamt</t>
  </si>
  <si>
    <t xml:space="preserve">Beerpong_1st</t>
  </si>
  <si>
    <t xml:space="preserve">Beerpong_2nd</t>
  </si>
  <si>
    <t xml:space="preserve">Beerpong_3rd</t>
  </si>
  <si>
    <t xml:space="preserve">Beerpong_Gesamt</t>
  </si>
  <si>
    <t xml:space="preserve">Flipcup_1st</t>
  </si>
  <si>
    <t xml:space="preserve">Flipcup_2nd</t>
  </si>
  <si>
    <t xml:space="preserve">Flipcup_3rd</t>
  </si>
  <si>
    <t xml:space="preserve">Flipcup_Gesamt</t>
  </si>
  <si>
    <t xml:space="preserve">Platz_1st</t>
  </si>
  <si>
    <t xml:space="preserve">Platz_2nd</t>
  </si>
  <si>
    <t xml:space="preserve">Platz_3rd</t>
  </si>
  <si>
    <t xml:space="preserve">Platz_Gesamt</t>
  </si>
  <si>
    <t xml:space="preserve">Gesamt_1st</t>
  </si>
  <si>
    <t xml:space="preserve">Gesamt_2nd</t>
  </si>
  <si>
    <t xml:space="preserve">Gesamt_3rd</t>
  </si>
  <si>
    <t xml:space="preserve">Gesamt_Gesamt</t>
  </si>
  <si>
    <t xml:space="preserve">Durchschnittspunkte_Gesamt</t>
  </si>
  <si>
    <t xml:space="preserve">Olympiade</t>
  </si>
  <si>
    <t xml:space="preserve">olympiade_1</t>
  </si>
  <si>
    <t xml:space="preserve">olympiade_2</t>
  </si>
  <si>
    <t xml:space="preserve">Flunkyball_Platzierung_Durchschnitt</t>
  </si>
  <si>
    <t xml:space="preserve">Beerpong_Platzierung_Durchschnitt</t>
  </si>
  <si>
    <t xml:space="preserve">Flipcup_Platzierung_Durchschnitt</t>
  </si>
  <si>
    <t xml:space="preserve">Gesamt_Platzierung_Durchschnitt</t>
  </si>
  <si>
    <t xml:space="preserve">Disziplin_Durchschnitt</t>
  </si>
  <si>
    <t xml:space="preserve">olympiade_3</t>
  </si>
  <si>
    <t xml:space="preserve">olympiade_4</t>
  </si>
  <si>
    <t xml:space="preserve">olympiade_5</t>
  </si>
  <si>
    <t xml:space="preserve">olympiade_6</t>
  </si>
  <si>
    <t xml:space="preserve">olympiade_7</t>
  </si>
  <si>
    <t xml:space="preserve">olympiade_8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</si>
</sst>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0"/>
      <name val="Aptos Narrow"/>
      <family val="0"/>
      <charset val="1"/>
    </font>
    <font>
      <b val="true"/>
      <sz val="11"/>
      <color theme="1"/>
      <name val="Aptos Narrow"/>
      <family val="0"/>
      <charset val="1"/>
    </font>
    <font>
      <sz val="11"/>
      <color theme="1"/>
      <name val="Aptos Narrow"/>
      <family val="0"/>
    </font>
  </fonts>
  <fills count="3">
    <fill>
      <patternFill patternType="none"/>
    </fill>
    <fill>
      <patternFill patternType="gray125"/>
    </fill>
    <fill>
      <patternFill patternType="solid">
        <fgColor theme="1"/>
        <bgColor rgb="FF00330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theme="1"/>
      </left>
      <right/>
      <top style="thin">
        <color theme="1"/>
      </top>
      <bottom style="thin">
        <color theme="1"/>
      </bottom>
      <diagonal/>
    </border>
    <border diagonalUp="false" diagonalDown="false">
      <left/>
      <right/>
      <top style="thin">
        <color theme="1"/>
      </top>
      <bottom style="thin">
        <color theme="1"/>
      </bottom>
      <diagonal/>
    </border>
    <border diagonalUp="false" diagonalDown="false">
      <left/>
      <right style="thin">
        <color theme="1"/>
      </right>
      <top style="thin">
        <color theme="1"/>
      </top>
      <bottom style="thin">
        <color theme="1"/>
      </bottom>
      <diagonal/>
    </border>
    <border diagonalUp="false" diagonalDown="false">
      <left style="thin">
        <color theme="1"/>
      </left>
      <right/>
      <top/>
      <bottom style="thin">
        <color theme="1"/>
      </bottom>
      <diagonal/>
    </border>
    <border diagonalUp="false" diagonalDown="false">
      <left/>
      <right/>
      <top/>
      <bottom style="thin">
        <color theme="1"/>
      </bottom>
      <diagonal/>
    </border>
    <border diagonalUp="false" diagonalDown="false">
      <left/>
      <right style="thin">
        <color theme="1"/>
      </right>
      <top/>
      <bottom style="thin">
        <color theme="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_1" displayName="Table_1" ref="B3:N36" headerRowCount="1" totalsRowCount="0" totalsRowShown="0">
  <tableColumns count="13">
    <tableColumn id="1" name="Gesamtplatzierung"/>
    <tableColumn id="2" name="Durchschnittsplatzierung"/>
    <tableColumn id="3" name="Name"/>
    <tableColumn id="4" name="Teilgenommen"/>
    <tableColumn id="5" name="Durchschnittswert"/>
    <tableColumn id="6" name="1"/>
    <tableColumn id="7" name="2"/>
    <tableColumn id="8" name="3"/>
    <tableColumn id="9" name="4"/>
    <tableColumn id="10" name="5"/>
    <tableColumn id="11" name="6"/>
    <tableColumn id="12" name="7"/>
    <tableColumn id="13" name="8"/>
  </tableColumns>
</table>
</file>

<file path=xl/tables/table2.xml><?xml version="1.0" encoding="utf-8"?>
<table xmlns="http://schemas.openxmlformats.org/spreadsheetml/2006/main" id="2" name="Table_2" displayName="Table_2" ref="B3:L36" headerRowCount="1" totalsRowCount="0" totalsRowShown="0">
  <tableColumns count="11">
    <tableColumn id="1" name="Gesamtplatzierung"/>
    <tableColumn id="2" name="Olympiade"/>
    <tableColumn id="3" name="Teilgenommen"/>
    <tableColumn id="4" name="1"/>
    <tableColumn id="5" name="2"/>
    <tableColumn id="6" name="3"/>
    <tableColumn id="7" name="4"/>
    <tableColumn id="8" name="5"/>
    <tableColumn id="9" name="6"/>
    <tableColumn id="10" name="7"/>
    <tableColumn id="11" name="8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2.63671875" defaultRowHeight="15" customHeight="true" zeroHeight="false" outlineLevelRow="0" outlineLevelCol="0"/>
  <cols>
    <col collapsed="false" customWidth="true" hidden="false" outlineLevel="0" max="1" min="1" style="1" width="25.74"/>
    <col collapsed="false" customWidth="true" hidden="false" outlineLevel="0" max="2" min="2" style="1" width="29.63"/>
    <col collapsed="false" customWidth="true" hidden="false" outlineLevel="0" max="3" min="3" style="1" width="27.75"/>
    <col collapsed="false" customWidth="true" hidden="false" outlineLevel="0" max="4" min="4" style="1" width="22.89"/>
    <col collapsed="false" customWidth="true" hidden="false" outlineLevel="0" max="5" min="5" style="1" width="20"/>
    <col collapsed="false" customWidth="true" hidden="false" outlineLevel="0" max="6" min="6" style="1" width="29.13"/>
    <col collapsed="false" customWidth="true" hidden="false" outlineLevel="0" max="26" min="7" style="1" width="7.75"/>
  </cols>
  <sheetData>
    <row r="1" customFormat="false" ht="1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customFormat="false" ht="15" hidden="false" customHeight="false" outlineLevel="0" collapsed="false">
      <c r="A2" s="5" t="n">
        <v>1</v>
      </c>
      <c r="B2" s="5" t="s">
        <v>6</v>
      </c>
      <c r="C2" s="5" t="n">
        <f aca="false">SUMIFS(Database!B:B,Database!A:A,B2) + SUMIFS(Database!C:C,Database!A:A,B2)</f>
        <v>340</v>
      </c>
      <c r="D2" s="5" t="n">
        <f aca="false">SUMIFS(Database!B:B,Database!A:A,B2) + SUMIFS(Database!D:D,Database!A:A,B2)</f>
        <v>380</v>
      </c>
      <c r="E2" s="5" t="n">
        <f aca="false">SUMIFS(Database!B:B,Database!A:A,B2) + SUMIFS(Database!E:E,Database!A:A,B2)</f>
        <v>290</v>
      </c>
      <c r="F2" s="5" t="n">
        <f aca="false">SUMIFS(Database!B:B,Database!A:A,B2) + SUMIFS(Database!F:F,Database!A:A,B2)</f>
        <v>390</v>
      </c>
    </row>
    <row r="3" customFormat="false" ht="15" hidden="false" customHeight="false" outlineLevel="0" collapsed="false">
      <c r="A3" s="5" t="n">
        <v>2</v>
      </c>
      <c r="B3" s="5" t="s">
        <v>7</v>
      </c>
      <c r="C3" s="5" t="n">
        <f aca="false">SUMIFS(Database!B:B,Database!A:A,B3) + SUMIFS(Database!C:C,Database!A:A,B3)</f>
        <v>320</v>
      </c>
      <c r="D3" s="5" t="n">
        <f aca="false">SUMIFS(Database!B:B,Database!A:A,B3) + SUMIFS(Database!D:D,Database!A:A,B3)</f>
        <v>380</v>
      </c>
      <c r="E3" s="5" t="n">
        <f aca="false">SUMIFS(Database!B:B,Database!A:A,B3) + SUMIFS(Database!E:E,Database!A:A,B3)</f>
        <v>290</v>
      </c>
      <c r="F3" s="5" t="n">
        <f aca="false">SUMIFS(Database!B:B,Database!A:A,B3) + SUMIFS(Database!F:F,Database!A:A,B3)</f>
        <v>340</v>
      </c>
    </row>
    <row r="4" customFormat="false" ht="15" hidden="false" customHeight="false" outlineLevel="0" collapsed="false">
      <c r="A4" s="5" t="n">
        <v>3</v>
      </c>
      <c r="B4" s="5" t="s">
        <v>8</v>
      </c>
      <c r="C4" s="5" t="n">
        <f aca="false">SUMIFS(Database!B:B,Database!A:A,B4) + SUMIFS(Database!C:C,Database!A:A,B4)</f>
        <v>270</v>
      </c>
      <c r="D4" s="5" t="n">
        <f aca="false">SUMIFS(Database!B:B,Database!A:A,B4) + SUMIFS(Database!D:D,Database!A:A,B4)</f>
        <v>280</v>
      </c>
      <c r="E4" s="5" t="n">
        <f aca="false">SUMIFS(Database!B:B,Database!A:A,B4) + SUMIFS(Database!E:E,Database!A:A,B4)</f>
        <v>230</v>
      </c>
      <c r="F4" s="5" t="n">
        <f aca="false">SUMIFS(Database!B:B,Database!A:A,B4) + SUMIFS(Database!F:F,Database!A:A,B4)</f>
        <v>300</v>
      </c>
    </row>
    <row r="5" customFormat="false" ht="15" hidden="false" customHeight="false" outlineLevel="0" collapsed="false">
      <c r="A5" s="5" t="n">
        <v>4</v>
      </c>
      <c r="B5" s="5" t="s">
        <v>9</v>
      </c>
      <c r="C5" s="5" t="n">
        <f aca="false">SUMIFS(Database!B:B,Database!A:A,B5) + SUMIFS(Database!C:C,Database!A:A,B5)</f>
        <v>240</v>
      </c>
      <c r="D5" s="5" t="n">
        <f aca="false">SUMIFS(Database!B:B,Database!A:A,B5) + SUMIFS(Database!D:D,Database!A:A,B5)</f>
        <v>180</v>
      </c>
      <c r="E5" s="5" t="n">
        <f aca="false">SUMIFS(Database!B:B,Database!A:A,B5) + SUMIFS(Database!E:E,Database!A:A,B5)</f>
        <v>390</v>
      </c>
      <c r="F5" s="5" t="n">
        <f aca="false">SUMIFS(Database!B:B,Database!A:A,B5) + SUMIFS(Database!F:F,Database!A:A,B5)</f>
        <v>270</v>
      </c>
    </row>
    <row r="6" customFormat="false" ht="15" hidden="false" customHeight="false" outlineLevel="0" collapsed="false">
      <c r="A6" s="5" t="n">
        <v>5</v>
      </c>
      <c r="B6" s="5" t="s">
        <v>10</v>
      </c>
      <c r="C6" s="5" t="n">
        <f aca="false">SUMIFS(Database!B:B,Database!A:A,B6) + SUMIFS(Database!C:C,Database!A:A,B6)</f>
        <v>230</v>
      </c>
      <c r="D6" s="5" t="n">
        <f aca="false">SUMIFS(Database!B:B,Database!A:A,B6) + SUMIFS(Database!D:D,Database!A:A,B6)</f>
        <v>180</v>
      </c>
      <c r="E6" s="5" t="n">
        <f aca="false">SUMIFS(Database!B:B,Database!A:A,B6) + SUMIFS(Database!E:E,Database!A:A,B6)</f>
        <v>240</v>
      </c>
      <c r="F6" s="5" t="n">
        <f aca="false">SUMIFS(Database!B:B,Database!A:A,B6) + SUMIFS(Database!F:F,Database!A:A,B6)</f>
        <v>260</v>
      </c>
    </row>
    <row r="7" customFormat="false" ht="15" hidden="false" customHeight="false" outlineLevel="0" collapsed="false">
      <c r="A7" s="5" t="n">
        <v>6</v>
      </c>
      <c r="B7" s="5" t="s">
        <v>11</v>
      </c>
      <c r="C7" s="5" t="n">
        <f aca="false">SUMIFS(Database!B:B,Database!A:A,B7) + SUMIFS(Database!C:C,Database!A:A,B7)</f>
        <v>210</v>
      </c>
      <c r="D7" s="5" t="n">
        <f aca="false">SUMIFS(Database!B:B,Database!A:A,B7) + SUMIFS(Database!D:D,Database!A:A,B7)</f>
        <v>220</v>
      </c>
      <c r="E7" s="5" t="n">
        <f aca="false">SUMIFS(Database!B:B,Database!A:A,B7) + SUMIFS(Database!E:E,Database!A:A,B7)</f>
        <v>220</v>
      </c>
      <c r="F7" s="5" t="n">
        <f aca="false">SUMIFS(Database!B:B,Database!A:A,B7) + SUMIFS(Database!F:F,Database!A:A,B7)</f>
        <v>240</v>
      </c>
    </row>
    <row r="8" customFormat="false" ht="15" hidden="false" customHeight="false" outlineLevel="0" collapsed="false">
      <c r="A8" s="5" t="n">
        <v>7</v>
      </c>
      <c r="B8" s="5" t="s">
        <v>12</v>
      </c>
      <c r="C8" s="5" t="n">
        <f aca="false">SUMIFS(Database!B:B,Database!A:A,B8) + SUMIFS(Database!C:C,Database!A:A,B8)</f>
        <v>260</v>
      </c>
      <c r="D8" s="5" t="n">
        <f aca="false">SUMIFS(Database!B:B,Database!A:A,B8) + SUMIFS(Database!D:D,Database!A:A,B8)</f>
        <v>170</v>
      </c>
      <c r="E8" s="5" t="n">
        <f aca="false">SUMIFS(Database!B:B,Database!A:A,B8) + SUMIFS(Database!E:E,Database!A:A,B8)</f>
        <v>190</v>
      </c>
      <c r="F8" s="5" t="n">
        <f aca="false">SUMIFS(Database!B:B,Database!A:A,B8) + SUMIFS(Database!F:F,Database!A:A,B8)</f>
        <v>230</v>
      </c>
    </row>
    <row r="9" customFormat="false" ht="15" hidden="false" customHeight="false" outlineLevel="0" collapsed="false">
      <c r="A9" s="5" t="n">
        <v>8</v>
      </c>
      <c r="B9" s="5" t="s">
        <v>13</v>
      </c>
      <c r="C9" s="5" t="n">
        <f aca="false">SUMIFS(Database!B:B,Database!A:A,B9) + SUMIFS(Database!C:C,Database!A:A,B9)</f>
        <v>160</v>
      </c>
      <c r="D9" s="5" t="n">
        <f aca="false">SUMIFS(Database!B:B,Database!A:A,B9) + SUMIFS(Database!D:D,Database!A:A,B9)</f>
        <v>200</v>
      </c>
      <c r="E9" s="5" t="n">
        <f aca="false">SUMIFS(Database!B:B,Database!A:A,B9) + SUMIFS(Database!E:E,Database!A:A,B9)</f>
        <v>230</v>
      </c>
      <c r="F9" s="5" t="n">
        <f aca="false">SUMIFS(Database!B:B,Database!A:A,B9) + SUMIFS(Database!F:F,Database!A:A,B9)</f>
        <v>210</v>
      </c>
    </row>
    <row r="10" customFormat="false" ht="15" hidden="false" customHeight="false" outlineLevel="0" collapsed="false">
      <c r="A10" s="5" t="n">
        <v>9</v>
      </c>
      <c r="B10" s="5" t="s">
        <v>14</v>
      </c>
      <c r="C10" s="5" t="n">
        <f aca="false">SUMIFS(Database!B:B,Database!A:A,B10) + SUMIFS(Database!C:C,Database!A:A,B10)</f>
        <v>130</v>
      </c>
      <c r="D10" s="5" t="n">
        <f aca="false">SUMIFS(Database!B:B,Database!A:A,B10) + SUMIFS(Database!D:D,Database!A:A,B10)</f>
        <v>130</v>
      </c>
      <c r="E10" s="5" t="n">
        <f aca="false">SUMIFS(Database!B:B,Database!A:A,B10) + SUMIFS(Database!E:E,Database!A:A,B10)</f>
        <v>150</v>
      </c>
      <c r="F10" s="5" t="n">
        <f aca="false">SUMIFS(Database!B:B,Database!A:A,B10) + SUMIFS(Database!F:F,Database!A:A,B10)</f>
        <v>160</v>
      </c>
    </row>
    <row r="11" customFormat="false" ht="15" hidden="false" customHeight="false" outlineLevel="0" collapsed="false">
      <c r="A11" s="5" t="n">
        <v>10</v>
      </c>
      <c r="B11" s="5" t="s">
        <v>15</v>
      </c>
      <c r="C11" s="5" t="n">
        <f aca="false">SUMIFS(Database!B:B,Database!A:A,B11) + SUMIFS(Database!C:C,Database!A:A,B11)</f>
        <v>160</v>
      </c>
      <c r="D11" s="5" t="n">
        <f aca="false">SUMIFS(Database!B:B,Database!A:A,B11) + SUMIFS(Database!D:D,Database!A:A,B11)</f>
        <v>140</v>
      </c>
      <c r="E11" s="5" t="n">
        <f aca="false">SUMIFS(Database!B:B,Database!A:A,B11) + SUMIFS(Database!E:E,Database!A:A,B11)</f>
        <v>110</v>
      </c>
      <c r="F11" s="5" t="n">
        <f aca="false">SUMIFS(Database!B:B,Database!A:A,B11) + SUMIFS(Database!F:F,Database!A:A,B11)</f>
        <v>160</v>
      </c>
    </row>
    <row r="12" customFormat="false" ht="15" hidden="false" customHeight="false" outlineLevel="0" collapsed="false">
      <c r="A12" s="5" t="n">
        <v>11</v>
      </c>
      <c r="B12" s="5" t="s">
        <v>16</v>
      </c>
      <c r="C12" s="5" t="n">
        <f aca="false">SUMIFS(Database!B:B,Database!A:A,B12) + SUMIFS(Database!C:C,Database!A:A,B12)</f>
        <v>80</v>
      </c>
      <c r="D12" s="5" t="n">
        <f aca="false">SUMIFS(Database!B:B,Database!A:A,B12) + SUMIFS(Database!D:D,Database!A:A,B12)</f>
        <v>140</v>
      </c>
      <c r="E12" s="5" t="n">
        <f aca="false">SUMIFS(Database!B:B,Database!A:A,B12) + SUMIFS(Database!E:E,Database!A:A,B12)</f>
        <v>230</v>
      </c>
      <c r="F12" s="5" t="n">
        <f aca="false">SUMIFS(Database!B:B,Database!A:A,B12) + SUMIFS(Database!F:F,Database!A:A,B12)</f>
        <v>150</v>
      </c>
    </row>
    <row r="13" customFormat="false" ht="15" hidden="false" customHeight="false" outlineLevel="0" collapsed="false">
      <c r="A13" s="5" t="n">
        <v>12</v>
      </c>
      <c r="B13" s="5" t="s">
        <v>17</v>
      </c>
      <c r="C13" s="5" t="n">
        <f aca="false">SUMIFS(Database!B:B,Database!A:A,B13) + SUMIFS(Database!C:C,Database!A:A,B13)</f>
        <v>160</v>
      </c>
      <c r="D13" s="5" t="n">
        <f aca="false">SUMIFS(Database!B:B,Database!A:A,B13) + SUMIFS(Database!D:D,Database!A:A,B13)</f>
        <v>90</v>
      </c>
      <c r="E13" s="5" t="n">
        <f aca="false">SUMIFS(Database!B:B,Database!A:A,B13) + SUMIFS(Database!E:E,Database!A:A,B13)</f>
        <v>230</v>
      </c>
      <c r="F13" s="5" t="n">
        <f aca="false">SUMIFS(Database!B:B,Database!A:A,B13) + SUMIFS(Database!F:F,Database!A:A,B13)</f>
        <v>150</v>
      </c>
    </row>
    <row r="14" customFormat="false" ht="15" hidden="false" customHeight="false" outlineLevel="0" collapsed="false">
      <c r="A14" s="5" t="n">
        <v>13</v>
      </c>
      <c r="B14" s="5" t="s">
        <v>18</v>
      </c>
      <c r="C14" s="5" t="n">
        <f aca="false">SUMIFS(Database!B:B,Database!A:A,B14) + SUMIFS(Database!C:C,Database!A:A,B14)</f>
        <v>210</v>
      </c>
      <c r="D14" s="5" t="n">
        <f aca="false">SUMIFS(Database!B:B,Database!A:A,B14) + SUMIFS(Database!D:D,Database!A:A,B14)</f>
        <v>130</v>
      </c>
      <c r="E14" s="5" t="n">
        <f aca="false">SUMIFS(Database!B:B,Database!A:A,B14) + SUMIFS(Database!E:E,Database!A:A,B14)</f>
        <v>80</v>
      </c>
      <c r="F14" s="5" t="n">
        <f aca="false">SUMIFS(Database!B:B,Database!A:A,B14) + SUMIFS(Database!F:F,Database!A:A,B14)</f>
        <v>140</v>
      </c>
    </row>
    <row r="15" customFormat="false" ht="15" hidden="false" customHeight="false" outlineLevel="0" collapsed="false">
      <c r="A15" s="5" t="n">
        <v>14</v>
      </c>
      <c r="B15" s="5" t="s">
        <v>19</v>
      </c>
      <c r="C15" s="5" t="n">
        <f aca="false">SUMIFS(Database!B:B,Database!A:A,B15) + SUMIFS(Database!C:C,Database!A:A,B15)</f>
        <v>170</v>
      </c>
      <c r="D15" s="5" t="n">
        <f aca="false">SUMIFS(Database!B:B,Database!A:A,B15) + SUMIFS(Database!D:D,Database!A:A,B15)</f>
        <v>140</v>
      </c>
      <c r="E15" s="5" t="n">
        <f aca="false">SUMIFS(Database!B:B,Database!A:A,B15) + SUMIFS(Database!E:E,Database!A:A,B15)</f>
        <v>190</v>
      </c>
      <c r="F15" s="5" t="n">
        <f aca="false">SUMIFS(Database!B:B,Database!A:A,B15) + SUMIFS(Database!F:F,Database!A:A,B15)</f>
        <v>140</v>
      </c>
    </row>
    <row r="16" customFormat="false" ht="15" hidden="false" customHeight="false" outlineLevel="0" collapsed="false">
      <c r="A16" s="5" t="n">
        <v>15</v>
      </c>
      <c r="B16" s="5" t="s">
        <v>20</v>
      </c>
      <c r="C16" s="5" t="n">
        <f aca="false">SUMIFS(Database!B:B,Database!A:A,B16) + SUMIFS(Database!C:C,Database!A:A,B16)</f>
        <v>90</v>
      </c>
      <c r="D16" s="5" t="n">
        <f aca="false">SUMIFS(Database!B:B,Database!A:A,B16) + SUMIFS(Database!D:D,Database!A:A,B16)</f>
        <v>180</v>
      </c>
      <c r="E16" s="5" t="n">
        <f aca="false">SUMIFS(Database!B:B,Database!A:A,B16) + SUMIFS(Database!E:E,Database!A:A,B16)</f>
        <v>150</v>
      </c>
      <c r="F16" s="5" t="n">
        <f aca="false">SUMIFS(Database!B:B,Database!A:A,B16) + SUMIFS(Database!F:F,Database!A:A,B16)</f>
        <v>120</v>
      </c>
    </row>
    <row r="17" customFormat="false" ht="15" hidden="false" customHeight="false" outlineLevel="0" collapsed="false">
      <c r="A17" s="5" t="n">
        <v>16</v>
      </c>
      <c r="B17" s="5" t="s">
        <v>21</v>
      </c>
      <c r="C17" s="5" t="n">
        <f aca="false">SUMIFS(Database!B:B,Database!A:A,B17) + SUMIFS(Database!C:C,Database!A:A,B17)</f>
        <v>110</v>
      </c>
      <c r="D17" s="5" t="n">
        <f aca="false">SUMIFS(Database!B:B,Database!A:A,B17) + SUMIFS(Database!D:D,Database!A:A,B17)</f>
        <v>120</v>
      </c>
      <c r="E17" s="5" t="n">
        <f aca="false">SUMIFS(Database!B:B,Database!A:A,B17) + SUMIFS(Database!E:E,Database!A:A,B17)</f>
        <v>60</v>
      </c>
      <c r="F17" s="5" t="n">
        <f aca="false">SUMIFS(Database!B:B,Database!A:A,B17) + SUMIFS(Database!F:F,Database!A:A,B17)</f>
        <v>110</v>
      </c>
    </row>
    <row r="18" customFormat="false" ht="15" hidden="false" customHeight="false" outlineLevel="0" collapsed="false">
      <c r="A18" s="5" t="n">
        <v>17</v>
      </c>
      <c r="B18" s="5" t="s">
        <v>22</v>
      </c>
      <c r="C18" s="5" t="n">
        <f aca="false">SUMIFS(Database!B:B,Database!A:A,B18) + SUMIFS(Database!C:C,Database!A:A,B18)</f>
        <v>160</v>
      </c>
      <c r="D18" s="5" t="n">
        <f aca="false">SUMIFS(Database!B:B,Database!A:A,B18) + SUMIFS(Database!D:D,Database!A:A,B18)</f>
        <v>90</v>
      </c>
      <c r="E18" s="5" t="n">
        <f aca="false">SUMIFS(Database!B:B,Database!A:A,B18) + SUMIFS(Database!E:E,Database!A:A,B18)</f>
        <v>190</v>
      </c>
      <c r="F18" s="5" t="n">
        <f aca="false">SUMIFS(Database!B:B,Database!A:A,B18) + SUMIFS(Database!F:F,Database!A:A,B18)</f>
        <v>100</v>
      </c>
    </row>
    <row r="19" customFormat="false" ht="15" hidden="false" customHeight="false" outlineLevel="0" collapsed="false">
      <c r="A19" s="5" t="n">
        <v>18</v>
      </c>
      <c r="B19" s="5" t="s">
        <v>23</v>
      </c>
      <c r="C19" s="5" t="n">
        <f aca="false">SUMIFS(Database!B:B,Database!A:A,B19) + SUMIFS(Database!C:C,Database!A:A,B19)</f>
        <v>50</v>
      </c>
      <c r="D19" s="5" t="n">
        <f aca="false">SUMIFS(Database!B:B,Database!A:A,B19) + SUMIFS(Database!D:D,Database!A:A,B19)</f>
        <v>110</v>
      </c>
      <c r="E19" s="5" t="n">
        <f aca="false">SUMIFS(Database!B:B,Database!A:A,B19) + SUMIFS(Database!E:E,Database!A:A,B19)</f>
        <v>80</v>
      </c>
      <c r="F19" s="5" t="n">
        <f aca="false">SUMIFS(Database!B:B,Database!A:A,B19) + SUMIFS(Database!F:F,Database!A:A,B19)</f>
        <v>90</v>
      </c>
    </row>
    <row r="20" customFormat="false" ht="15" hidden="false" customHeight="false" outlineLevel="0" collapsed="false">
      <c r="A20" s="5" t="n">
        <v>19</v>
      </c>
      <c r="B20" s="5" t="s">
        <v>24</v>
      </c>
      <c r="C20" s="5" t="n">
        <f aca="false">SUMIFS(Database!B:B,Database!A:A,B20) + SUMIFS(Database!C:C,Database!A:A,B20)</f>
        <v>80</v>
      </c>
      <c r="D20" s="5" t="n">
        <f aca="false">SUMIFS(Database!B:B,Database!A:A,B20) + SUMIFS(Database!D:D,Database!A:A,B20)</f>
        <v>180</v>
      </c>
      <c r="E20" s="5" t="n">
        <f aca="false">SUMIFS(Database!B:B,Database!A:A,B20) + SUMIFS(Database!E:E,Database!A:A,B20)</f>
        <v>60</v>
      </c>
      <c r="F20" s="5" t="n">
        <f aca="false">SUMIFS(Database!B:B,Database!A:A,B20) + SUMIFS(Database!F:F,Database!A:A,B20)</f>
        <v>90</v>
      </c>
    </row>
    <row r="21" customFormat="false" ht="15.75" hidden="false" customHeight="true" outlineLevel="0" collapsed="false">
      <c r="A21" s="5" t="n">
        <v>20</v>
      </c>
      <c r="B21" s="5" t="s">
        <v>25</v>
      </c>
      <c r="C21" s="5" t="n">
        <f aca="false">SUMIFS(Database!B:B,Database!A:A,B21) + SUMIFS(Database!C:C,Database!A:A,B21)</f>
        <v>140</v>
      </c>
      <c r="D21" s="5" t="n">
        <f aca="false">SUMIFS(Database!B:B,Database!A:A,B21) + SUMIFS(Database!D:D,Database!A:A,B21)</f>
        <v>60</v>
      </c>
      <c r="E21" s="5" t="n">
        <f aca="false">SUMIFS(Database!B:B,Database!A:A,B21) + SUMIFS(Database!E:E,Database!A:A,B21)</f>
        <v>100</v>
      </c>
      <c r="F21" s="5" t="n">
        <f aca="false">SUMIFS(Database!B:B,Database!A:A,B21) + SUMIFS(Database!F:F,Database!A:A,B21)</f>
        <v>90</v>
      </c>
    </row>
    <row r="22" customFormat="false" ht="15.75" hidden="false" customHeight="true" outlineLevel="0" collapsed="false">
      <c r="A22" s="5" t="n">
        <v>21</v>
      </c>
      <c r="B22" s="5" t="s">
        <v>26</v>
      </c>
      <c r="C22" s="5" t="n">
        <f aca="false">SUMIFS(Database!B:B,Database!A:A,B22) + SUMIFS(Database!C:C,Database!A:A,B22)</f>
        <v>80</v>
      </c>
      <c r="D22" s="5" t="n">
        <f aca="false">SUMIFS(Database!B:B,Database!A:A,B22) + SUMIFS(Database!D:D,Database!A:A,B22)</f>
        <v>90</v>
      </c>
      <c r="E22" s="5" t="n">
        <f aca="false">SUMIFS(Database!B:B,Database!A:A,B22) + SUMIFS(Database!E:E,Database!A:A,B22)</f>
        <v>40</v>
      </c>
      <c r="F22" s="5" t="n">
        <f aca="false">SUMIFS(Database!B:B,Database!A:A,B22) + SUMIFS(Database!F:F,Database!A:A,B22)</f>
        <v>80</v>
      </c>
    </row>
    <row r="23" customFormat="false" ht="15.75" hidden="false" customHeight="true" outlineLevel="0" collapsed="false">
      <c r="A23" s="5" t="n">
        <v>22</v>
      </c>
      <c r="B23" s="5" t="s">
        <v>27</v>
      </c>
      <c r="C23" s="5" t="n">
        <f aca="false">SUMIFS(Database!B:B,Database!A:A,B23) + SUMIFS(Database!C:C,Database!A:A,B23)</f>
        <v>110</v>
      </c>
      <c r="D23" s="5" t="n">
        <f aca="false">SUMIFS(Database!B:B,Database!A:A,B23) + SUMIFS(Database!D:D,Database!A:A,B23)</f>
        <v>90</v>
      </c>
      <c r="E23" s="5" t="n">
        <f aca="false">SUMIFS(Database!B:B,Database!A:A,B23) + SUMIFS(Database!E:E,Database!A:A,B23)</f>
        <v>30</v>
      </c>
      <c r="F23" s="5" t="n">
        <f aca="false">SUMIFS(Database!B:B,Database!A:A,B23) + SUMIFS(Database!F:F,Database!A:A,B23)</f>
        <v>80</v>
      </c>
    </row>
    <row r="24" customFormat="false" ht="15.75" hidden="false" customHeight="true" outlineLevel="0" collapsed="false">
      <c r="A24" s="5" t="n">
        <v>23</v>
      </c>
      <c r="B24" s="5" t="s">
        <v>28</v>
      </c>
      <c r="C24" s="5" t="n">
        <f aca="false">SUMIFS(Database!B:B,Database!A:A,B24) + SUMIFS(Database!C:C,Database!A:A,B24)</f>
        <v>80</v>
      </c>
      <c r="D24" s="5" t="n">
        <f aca="false">SUMIFS(Database!B:B,Database!A:A,B24) + SUMIFS(Database!D:D,Database!A:A,B24)</f>
        <v>120</v>
      </c>
      <c r="E24" s="5" t="n">
        <f aca="false">SUMIFS(Database!B:B,Database!A:A,B24) + SUMIFS(Database!E:E,Database!A:A,B24)</f>
        <v>80</v>
      </c>
      <c r="F24" s="5" t="n">
        <f aca="false">SUMIFS(Database!B:B,Database!A:A,B24) + SUMIFS(Database!F:F,Database!A:A,B24)</f>
        <v>70</v>
      </c>
    </row>
    <row r="25" customFormat="false" ht="15.75" hidden="false" customHeight="true" outlineLevel="0" collapsed="false">
      <c r="A25" s="5" t="n">
        <v>24</v>
      </c>
      <c r="B25" s="5" t="s">
        <v>29</v>
      </c>
      <c r="C25" s="5" t="n">
        <f aca="false">SUMIFS(Database!B:B,Database!A:A,B25) + SUMIFS(Database!C:C,Database!A:A,B25)</f>
        <v>70</v>
      </c>
      <c r="D25" s="5" t="n">
        <f aca="false">SUMIFS(Database!B:B,Database!A:A,B25) + SUMIFS(Database!D:D,Database!A:A,B25)</f>
        <v>50</v>
      </c>
      <c r="E25" s="5" t="n">
        <f aca="false">SUMIFS(Database!B:B,Database!A:A,B25) + SUMIFS(Database!E:E,Database!A:A,B25)</f>
        <v>60</v>
      </c>
      <c r="F25" s="5" t="n">
        <f aca="false">SUMIFS(Database!B:B,Database!A:A,B25) + SUMIFS(Database!F:F,Database!A:A,B25)</f>
        <v>70</v>
      </c>
    </row>
    <row r="26" customFormat="false" ht="15.75" hidden="false" customHeight="true" outlineLevel="0" collapsed="false">
      <c r="A26" s="5" t="n">
        <v>25</v>
      </c>
      <c r="B26" s="5" t="s">
        <v>30</v>
      </c>
      <c r="C26" s="5" t="n">
        <f aca="false">SUMIFS(Database!B:B,Database!A:A,B26) + SUMIFS(Database!C:C,Database!A:A,B26)</f>
        <v>70</v>
      </c>
      <c r="D26" s="5" t="n">
        <f aca="false">SUMIFS(Database!B:B,Database!A:A,B26) + SUMIFS(Database!D:D,Database!A:A,B26)</f>
        <v>60</v>
      </c>
      <c r="E26" s="5" t="n">
        <f aca="false">SUMIFS(Database!B:B,Database!A:A,B26) + SUMIFS(Database!E:E,Database!A:A,B26)</f>
        <v>50</v>
      </c>
      <c r="F26" s="5" t="n">
        <f aca="false">SUMIFS(Database!B:B,Database!A:A,B26) + SUMIFS(Database!F:F,Database!A:A,B26)</f>
        <v>70</v>
      </c>
    </row>
    <row r="27" customFormat="false" ht="15.75" hidden="false" customHeight="true" outlineLevel="0" collapsed="false">
      <c r="A27" s="5" t="n">
        <v>26</v>
      </c>
      <c r="B27" s="5" t="s">
        <v>31</v>
      </c>
      <c r="C27" s="5" t="n">
        <f aca="false">SUMIFS(Database!B:B,Database!A:A,B27) + SUMIFS(Database!C:C,Database!A:A,B27)</f>
        <v>60</v>
      </c>
      <c r="D27" s="5" t="n">
        <f aca="false">SUMIFS(Database!B:B,Database!A:A,B27) + SUMIFS(Database!D:D,Database!A:A,B27)</f>
        <v>40</v>
      </c>
      <c r="E27" s="5" t="n">
        <f aca="false">SUMIFS(Database!B:B,Database!A:A,B27) + SUMIFS(Database!E:E,Database!A:A,B27)</f>
        <v>60</v>
      </c>
      <c r="F27" s="5" t="n">
        <f aca="false">SUMIFS(Database!B:B,Database!A:A,B27) + SUMIFS(Database!F:F,Database!A:A,B27)</f>
        <v>50</v>
      </c>
    </row>
    <row r="28" customFormat="false" ht="15.75" hidden="false" customHeight="true" outlineLevel="0" collapsed="false">
      <c r="A28" s="5" t="n">
        <v>27</v>
      </c>
      <c r="B28" s="5" t="s">
        <v>32</v>
      </c>
      <c r="C28" s="5" t="n">
        <f aca="false">SUMIFS(Database!B:B,Database!A:A,B28) + SUMIFS(Database!C:C,Database!A:A,B28)</f>
        <v>60</v>
      </c>
      <c r="D28" s="5" t="n">
        <f aca="false">SUMIFS(Database!B:B,Database!A:A,B28) + SUMIFS(Database!D:D,Database!A:A,B28)</f>
        <v>60</v>
      </c>
      <c r="E28" s="5" t="n">
        <f aca="false">SUMIFS(Database!B:B,Database!A:A,B28) + SUMIFS(Database!E:E,Database!A:A,B28)</f>
        <v>50</v>
      </c>
      <c r="F28" s="5" t="n">
        <f aca="false">SUMIFS(Database!B:B,Database!A:A,B28) + SUMIFS(Database!F:F,Database!A:A,B28)</f>
        <v>50</v>
      </c>
    </row>
    <row r="29" customFormat="false" ht="15.75" hidden="false" customHeight="true" outlineLevel="0" collapsed="false">
      <c r="A29" s="5" t="n">
        <v>28</v>
      </c>
      <c r="B29" s="5" t="s">
        <v>33</v>
      </c>
      <c r="C29" s="5" t="n">
        <f aca="false">SUMIFS(Database!B:B,Database!A:A,B29) + SUMIFS(Database!C:C,Database!A:A,B29)</f>
        <v>60</v>
      </c>
      <c r="D29" s="5" t="n">
        <f aca="false">SUMIFS(Database!B:B,Database!A:A,B29) + SUMIFS(Database!D:D,Database!A:A,B29)</f>
        <v>60</v>
      </c>
      <c r="E29" s="5" t="n">
        <f aca="false">SUMIFS(Database!B:B,Database!A:A,B29) + SUMIFS(Database!E:E,Database!A:A,B29)</f>
        <v>50</v>
      </c>
      <c r="F29" s="5" t="n">
        <f aca="false">SUMIFS(Database!B:B,Database!A:A,B29) + SUMIFS(Database!F:F,Database!A:A,B29)</f>
        <v>50</v>
      </c>
    </row>
    <row r="30" customFormat="false" ht="15.75" hidden="false" customHeight="true" outlineLevel="0" collapsed="false">
      <c r="A30" s="5" t="n">
        <v>29</v>
      </c>
      <c r="B30" s="1" t="s">
        <v>34</v>
      </c>
      <c r="C30" s="5" t="n">
        <f aca="false">SUMIFS(Database!B:B,Database!A:A,B30) + SUMIFS(Database!C:C,Database!A:A,B30)</f>
        <v>20</v>
      </c>
      <c r="D30" s="5" t="n">
        <f aca="false">SUMIFS(Database!B:B,Database!A:A,B30) + SUMIFS(Database!D:D,Database!A:A,B30)</f>
        <v>70</v>
      </c>
      <c r="E30" s="5" t="n">
        <f aca="false">SUMIFS(Database!B:B,Database!A:A,B30) + SUMIFS(Database!E:E,Database!A:A,B30)</f>
        <v>60</v>
      </c>
      <c r="F30" s="5" t="n">
        <f aca="false">SUMIFS(Database!B:B,Database!A:A,B30) + SUMIFS(Database!F:F,Database!A:A,B30)</f>
        <v>50</v>
      </c>
    </row>
    <row r="31" customFormat="false" ht="15.75" hidden="false" customHeight="true" outlineLevel="0" collapsed="false">
      <c r="A31" s="5" t="n">
        <v>30</v>
      </c>
      <c r="B31" s="1" t="s">
        <v>35</v>
      </c>
      <c r="C31" s="5" t="n">
        <f aca="false">SUMIFS(Database!B:B,Database!A:A,B31) + SUMIFS(Database!C:C,Database!A:A,B31)</f>
        <v>70</v>
      </c>
      <c r="D31" s="5" t="n">
        <f aca="false">SUMIFS(Database!B:B,Database!A:A,B31) + SUMIFS(Database!D:D,Database!A:A,B31)</f>
        <v>20</v>
      </c>
      <c r="E31" s="5" t="n">
        <f aca="false">SUMIFS(Database!B:B,Database!A:A,B31) + SUMIFS(Database!E:E,Database!A:A,B31)</f>
        <v>40</v>
      </c>
      <c r="F31" s="5" t="n">
        <f aca="false">SUMIFS(Database!B:B,Database!A:A,B31) + SUMIFS(Database!F:F,Database!A:A,B31)</f>
        <v>40</v>
      </c>
    </row>
    <row r="32" customFormat="false" ht="15.75" hidden="false" customHeight="true" outlineLevel="0" collapsed="false">
      <c r="A32" s="5" t="n">
        <v>31</v>
      </c>
      <c r="B32" s="5" t="s">
        <v>36</v>
      </c>
      <c r="C32" s="5" t="n">
        <f aca="false">SUMIFS(Database!B:B,Database!A:A,B32) + SUMIFS(Database!C:C,Database!A:A,B32)</f>
        <v>30</v>
      </c>
      <c r="D32" s="5" t="n">
        <f aca="false">SUMIFS(Database!B:B,Database!A:A,B32) + SUMIFS(Database!D:D,Database!A:A,B32)</f>
        <v>60</v>
      </c>
      <c r="E32" s="5" t="n">
        <f aca="false">SUMIFS(Database!B:B,Database!A:A,B32) + SUMIFS(Database!E:E,Database!A:A,B32)</f>
        <v>10</v>
      </c>
      <c r="F32" s="5" t="n">
        <f aca="false">SUMIFS(Database!B:B,Database!A:A,B32) + SUMIFS(Database!F:F,Database!A:A,B32)</f>
        <v>20</v>
      </c>
    </row>
    <row r="33" customFormat="false" ht="15.75" hidden="false" customHeight="true" outlineLevel="0" collapsed="false">
      <c r="A33" s="5" t="n">
        <v>32</v>
      </c>
      <c r="B33" s="5" t="s">
        <v>37</v>
      </c>
      <c r="C33" s="5" t="n">
        <f aca="false">SUMIFS(Database!B:B,Database!A:A,B33) + SUMIFS(Database!C:C,Database!A:A,B33)</f>
        <v>40</v>
      </c>
      <c r="D33" s="5" t="n">
        <f aca="false">SUMIFS(Database!B:B,Database!A:A,B33) + SUMIFS(Database!D:D,Database!A:A,B33)</f>
        <v>50</v>
      </c>
      <c r="E33" s="5" t="n">
        <f aca="false">SUMIFS(Database!B:B,Database!A:A,B33) + SUMIFS(Database!E:E,Database!A:A,B33)</f>
        <v>10</v>
      </c>
      <c r="F33" s="5" t="n">
        <f aca="false">SUMIFS(Database!B:B,Database!A:A,B33) + SUMIFS(Database!F:F,Database!A:A,B33)</f>
        <v>20</v>
      </c>
    </row>
    <row r="34" customFormat="false" ht="15.75" hidden="false" customHeight="true" outlineLevel="0" collapsed="false">
      <c r="A34" s="5" t="n">
        <v>33</v>
      </c>
      <c r="B34" s="5" t="s">
        <v>38</v>
      </c>
      <c r="C34" s="5" t="n">
        <f aca="false">SUMIFS(Database!B:B,Database!A:A,B34) + SUMIFS(Database!C:C,Database!A:A,B34)</f>
        <v>20</v>
      </c>
      <c r="D34" s="5" t="n">
        <f aca="false">SUMIFS(Database!B:B,Database!A:A,B34) + SUMIFS(Database!D:D,Database!A:A,B34)</f>
        <v>50</v>
      </c>
      <c r="E34" s="5" t="n">
        <f aca="false">SUMIFS(Database!B:B,Database!A:A,B34) + SUMIFS(Database!E:E,Database!A:A,B34)</f>
        <v>40</v>
      </c>
      <c r="F34" s="5" t="n">
        <f aca="false">SUMIFS(Database!B:B,Database!A:A,B34) + SUMIFS(Database!F:F,Database!A:A,B34)</f>
        <v>20</v>
      </c>
    </row>
    <row r="35" customFormat="false" ht="15.75" hidden="false" customHeight="true" outlineLevel="0" collapsed="false">
      <c r="A35" s="1" t="n">
        <v>34</v>
      </c>
      <c r="B35" s="5" t="s">
        <v>39</v>
      </c>
      <c r="C35" s="5" t="n">
        <f aca="false">SUMIFS(Database!B:B,Database!A:A,B35) + SUMIFS(Database!C:C,Database!A:A,B35)</f>
        <v>10</v>
      </c>
      <c r="D35" s="5" t="n">
        <f aca="false">SUMIFS(Database!B:B,Database!A:A,B35) + SUMIFS(Database!D:D,Database!A:A,B35)</f>
        <v>20</v>
      </c>
      <c r="E35" s="5" t="n">
        <f aca="false">SUMIFS(Database!B:B,Database!A:A,B35) + SUMIFS(Database!E:E,Database!A:A,B35)</f>
        <v>20</v>
      </c>
      <c r="F35" s="5" t="n">
        <f aca="false">SUMIFS(Database!B:B,Database!A:A,B35) + SUMIFS(Database!F:F,Database!A:A,B35)</f>
        <v>10</v>
      </c>
    </row>
    <row r="36" customFormat="false" ht="15.75" hidden="false" customHeight="true" outlineLevel="0" collapsed="false">
      <c r="A36" s="1" t="n">
        <v>35</v>
      </c>
      <c r="B36" s="5" t="s">
        <v>40</v>
      </c>
      <c r="C36" s="5" t="n">
        <f aca="false">SUMIFS(Database!B:B,Database!A:A,B36) + SUMIFS(Database!C:C,Database!A:A,B36)</f>
        <v>10</v>
      </c>
      <c r="D36" s="5" t="n">
        <f aca="false">SUMIFS(Database!B:B,Database!A:A,B36) + SUMIFS(Database!D:D,Database!A:A,B36)</f>
        <v>10</v>
      </c>
      <c r="E36" s="5" t="n">
        <f aca="false">SUMIFS(Database!B:B,Database!A:A,B36) + SUMIFS(Database!E:E,Database!A:A,B36)</f>
        <v>10</v>
      </c>
      <c r="F36" s="5" t="n">
        <f aca="false">SUMIFS(Database!B:B,Database!A:A,B36) + SUMIFS(Database!F:F,Database!A:A,B36)</f>
        <v>10</v>
      </c>
    </row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671875" defaultRowHeight="15" customHeight="true" zeroHeight="false" outlineLevelRow="0" outlineLevelCol="0"/>
  <cols>
    <col collapsed="false" customWidth="true" hidden="false" outlineLevel="0" max="1" min="1" style="1" width="25.74"/>
    <col collapsed="false" customWidth="true" hidden="false" outlineLevel="0" max="2" min="2" style="1" width="29.63"/>
    <col collapsed="false" customWidth="true" hidden="false" outlineLevel="0" max="3" min="3" style="1" width="27.75"/>
    <col collapsed="false" customWidth="true" hidden="false" outlineLevel="0" max="4" min="4" style="1" width="22.89"/>
    <col collapsed="false" customWidth="true" hidden="false" outlineLevel="0" max="8" min="5" style="1" width="20"/>
    <col collapsed="false" customWidth="true" hidden="false" outlineLevel="0" max="9" min="9" style="1" width="22.63"/>
    <col collapsed="false" customWidth="true" hidden="false" outlineLevel="0" max="26" min="10" style="1" width="7.75"/>
  </cols>
  <sheetData>
    <row r="1" customFormat="false" ht="1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41</v>
      </c>
      <c r="G1" s="3" t="s">
        <v>42</v>
      </c>
      <c r="H1" s="3" t="s">
        <v>43</v>
      </c>
      <c r="I1" s="4" t="s">
        <v>5</v>
      </c>
    </row>
    <row r="2" customFormat="false" ht="15" hidden="false" customHeight="false" outlineLevel="0" collapsed="false">
      <c r="A2" s="5" t="n">
        <v>1</v>
      </c>
      <c r="B2" s="5" t="s">
        <v>7</v>
      </c>
      <c r="C2" s="5" t="n">
        <v>30</v>
      </c>
      <c r="D2" s="5" t="n">
        <v>30</v>
      </c>
      <c r="E2" s="5" t="n">
        <v>40</v>
      </c>
      <c r="F2" s="5" t="n">
        <v>2</v>
      </c>
      <c r="G2" s="5" t="n">
        <v>2</v>
      </c>
      <c r="H2" s="5" t="n">
        <v>1</v>
      </c>
      <c r="I2" s="5" t="n">
        <v>40</v>
      </c>
    </row>
    <row r="3" customFormat="false" ht="15" hidden="false" customHeight="false" outlineLevel="0" collapsed="false">
      <c r="A3" s="5" t="n">
        <v>1</v>
      </c>
      <c r="B3" s="5" t="s">
        <v>28</v>
      </c>
      <c r="C3" s="5" t="n">
        <v>30</v>
      </c>
      <c r="D3" s="5" t="n">
        <v>30</v>
      </c>
      <c r="E3" s="5" t="n">
        <v>40</v>
      </c>
      <c r="F3" s="5" t="n">
        <v>2</v>
      </c>
      <c r="G3" s="5" t="n">
        <v>2</v>
      </c>
      <c r="H3" s="5" t="n">
        <v>1</v>
      </c>
      <c r="I3" s="5" t="n">
        <v>40</v>
      </c>
    </row>
    <row r="4" customFormat="false" ht="15" hidden="false" customHeight="false" outlineLevel="0" collapsed="false">
      <c r="A4" s="5" t="n">
        <v>2</v>
      </c>
      <c r="B4" s="5" t="s">
        <v>11</v>
      </c>
      <c r="C4" s="5" t="n">
        <v>40</v>
      </c>
      <c r="D4" s="5" t="n">
        <v>20</v>
      </c>
      <c r="E4" s="5" t="n">
        <v>30</v>
      </c>
      <c r="F4" s="5" t="n">
        <v>1</v>
      </c>
      <c r="G4" s="5" t="n">
        <v>3</v>
      </c>
      <c r="H4" s="5" t="n">
        <v>2</v>
      </c>
      <c r="I4" s="5" t="n">
        <v>30</v>
      </c>
    </row>
    <row r="5" customFormat="false" ht="15" hidden="false" customHeight="false" outlineLevel="0" collapsed="false">
      <c r="A5" s="5" t="n">
        <v>2</v>
      </c>
      <c r="B5" s="5" t="s">
        <v>12</v>
      </c>
      <c r="C5" s="5" t="n">
        <v>40</v>
      </c>
      <c r="D5" s="5" t="n">
        <v>20</v>
      </c>
      <c r="E5" s="5" t="n">
        <v>30</v>
      </c>
      <c r="F5" s="5" t="n">
        <v>1</v>
      </c>
      <c r="G5" s="5" t="n">
        <v>3</v>
      </c>
      <c r="H5" s="5" t="n">
        <v>2</v>
      </c>
      <c r="I5" s="5" t="n">
        <v>30</v>
      </c>
    </row>
    <row r="6" customFormat="false" ht="15" hidden="false" customHeight="false" outlineLevel="0" collapsed="false">
      <c r="A6" s="5" t="n">
        <v>3</v>
      </c>
      <c r="B6" s="5" t="s">
        <v>6</v>
      </c>
      <c r="C6" s="5" t="n">
        <v>10</v>
      </c>
      <c r="D6" s="5" t="n">
        <v>40</v>
      </c>
      <c r="E6" s="5" t="n">
        <v>10</v>
      </c>
      <c r="F6" s="5" t="n">
        <v>4</v>
      </c>
      <c r="G6" s="5" t="n">
        <v>1</v>
      </c>
      <c r="H6" s="5" t="n">
        <v>4</v>
      </c>
      <c r="I6" s="5" t="n">
        <v>20</v>
      </c>
    </row>
    <row r="7" customFormat="false" ht="15" hidden="false" customHeight="false" outlineLevel="0" collapsed="false">
      <c r="A7" s="5" t="n">
        <v>3</v>
      </c>
      <c r="B7" s="5" t="s">
        <v>24</v>
      </c>
      <c r="C7" s="5" t="n">
        <v>10</v>
      </c>
      <c r="D7" s="5" t="n">
        <v>40</v>
      </c>
      <c r="E7" s="5" t="n">
        <v>10</v>
      </c>
      <c r="F7" s="5" t="n">
        <v>4</v>
      </c>
      <c r="G7" s="5" t="n">
        <v>1</v>
      </c>
      <c r="H7" s="5" t="n">
        <v>4</v>
      </c>
      <c r="I7" s="5" t="n">
        <v>20</v>
      </c>
    </row>
    <row r="8" customFormat="false" ht="15" hidden="false" customHeight="false" outlineLevel="0" collapsed="false">
      <c r="A8" s="5" t="n">
        <v>4</v>
      </c>
      <c r="B8" s="5" t="s">
        <v>27</v>
      </c>
      <c r="C8" s="5" t="n">
        <v>20</v>
      </c>
      <c r="D8" s="5" t="n">
        <v>10</v>
      </c>
      <c r="E8" s="5" t="n">
        <v>20</v>
      </c>
      <c r="F8" s="5" t="n">
        <v>3</v>
      </c>
      <c r="G8" s="5" t="n">
        <v>4</v>
      </c>
      <c r="H8" s="5" t="n">
        <v>3</v>
      </c>
      <c r="I8" s="5" t="n">
        <v>10</v>
      </c>
    </row>
    <row r="9" customFormat="false" ht="15" hidden="false" customHeight="false" outlineLevel="0" collapsed="false">
      <c r="A9" s="5" t="n">
        <v>4</v>
      </c>
      <c r="B9" s="5" t="s">
        <v>18</v>
      </c>
      <c r="C9" s="5" t="n">
        <v>20</v>
      </c>
      <c r="D9" s="5" t="n">
        <v>10</v>
      </c>
      <c r="E9" s="5" t="n">
        <v>20</v>
      </c>
      <c r="F9" s="5" t="n">
        <v>3</v>
      </c>
      <c r="G9" s="5" t="n">
        <v>4</v>
      </c>
      <c r="H9" s="5" t="n">
        <v>3</v>
      </c>
      <c r="I9" s="5" t="n">
        <v>10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671875" defaultRowHeight="15" customHeight="true" zeroHeight="false" outlineLevelRow="0" outlineLevelCol="0"/>
  <cols>
    <col collapsed="false" customWidth="true" hidden="false" outlineLevel="0" max="1" min="1" style="1" width="25.74"/>
    <col collapsed="false" customWidth="true" hidden="false" outlineLevel="0" max="2" min="2" style="1" width="29.63"/>
    <col collapsed="false" customWidth="true" hidden="false" outlineLevel="0" max="3" min="3" style="1" width="27.75"/>
    <col collapsed="false" customWidth="true" hidden="false" outlineLevel="0" max="4" min="4" style="1" width="22.89"/>
    <col collapsed="false" customWidth="true" hidden="false" outlineLevel="0" max="5" min="5" style="1" width="20"/>
    <col collapsed="false" customWidth="true" hidden="false" outlineLevel="0" max="8" min="6" style="1" width="19.25"/>
    <col collapsed="false" customWidth="true" hidden="false" outlineLevel="0" max="9" min="9" style="1" width="18.12"/>
    <col collapsed="false" customWidth="true" hidden="false" outlineLevel="0" max="26" min="10" style="1" width="7.75"/>
  </cols>
  <sheetData>
    <row r="1" customFormat="false" ht="1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41</v>
      </c>
      <c r="G1" s="3" t="s">
        <v>42</v>
      </c>
      <c r="H1" s="3" t="s">
        <v>43</v>
      </c>
      <c r="I1" s="4" t="s">
        <v>5</v>
      </c>
    </row>
    <row r="2" customFormat="false" ht="15" hidden="false" customHeight="false" outlineLevel="0" collapsed="false">
      <c r="A2" s="5" t="n">
        <v>1</v>
      </c>
      <c r="B2" s="5" t="s">
        <v>8</v>
      </c>
      <c r="C2" s="5" t="n">
        <v>40</v>
      </c>
      <c r="D2" s="5" t="n">
        <v>40</v>
      </c>
      <c r="E2" s="5" t="n">
        <v>30</v>
      </c>
      <c r="F2" s="5" t="n">
        <v>1</v>
      </c>
      <c r="G2" s="5" t="n">
        <v>1</v>
      </c>
      <c r="H2" s="5" t="n">
        <v>2</v>
      </c>
      <c r="I2" s="5" t="n">
        <v>50</v>
      </c>
    </row>
    <row r="3" customFormat="false" ht="15" hidden="false" customHeight="false" outlineLevel="0" collapsed="false">
      <c r="A3" s="5" t="n">
        <v>1</v>
      </c>
      <c r="B3" s="5" t="s">
        <v>11</v>
      </c>
      <c r="C3" s="5" t="n">
        <v>40</v>
      </c>
      <c r="D3" s="5" t="n">
        <v>40</v>
      </c>
      <c r="E3" s="5" t="n">
        <v>30</v>
      </c>
      <c r="F3" s="5" t="n">
        <v>1</v>
      </c>
      <c r="G3" s="5" t="n">
        <v>1</v>
      </c>
      <c r="H3" s="5" t="n">
        <v>2</v>
      </c>
      <c r="I3" s="5" t="n">
        <v>50</v>
      </c>
    </row>
    <row r="4" customFormat="false" ht="15" hidden="false" customHeight="false" outlineLevel="0" collapsed="false">
      <c r="A4" s="5" t="n">
        <v>2</v>
      </c>
      <c r="B4" s="5" t="s">
        <v>7</v>
      </c>
      <c r="C4" s="5" t="n">
        <v>40</v>
      </c>
      <c r="D4" s="5" t="n">
        <v>40</v>
      </c>
      <c r="E4" s="5" t="n">
        <v>30</v>
      </c>
      <c r="F4" s="5" t="n">
        <v>1</v>
      </c>
      <c r="G4" s="5" t="n">
        <v>1</v>
      </c>
      <c r="H4" s="5" t="n">
        <v>2</v>
      </c>
      <c r="I4" s="5" t="n">
        <v>40</v>
      </c>
    </row>
    <row r="5" customFormat="false" ht="15" hidden="false" customHeight="false" outlineLevel="0" collapsed="false">
      <c r="A5" s="5" t="n">
        <v>2</v>
      </c>
      <c r="B5" s="5" t="s">
        <v>26</v>
      </c>
      <c r="C5" s="5" t="n">
        <v>40</v>
      </c>
      <c r="D5" s="5" t="n">
        <v>40</v>
      </c>
      <c r="E5" s="5" t="n">
        <v>30</v>
      </c>
      <c r="F5" s="5" t="n">
        <v>1</v>
      </c>
      <c r="G5" s="5" t="n">
        <v>1</v>
      </c>
      <c r="H5" s="5" t="n">
        <v>2</v>
      </c>
      <c r="I5" s="5" t="n">
        <v>40</v>
      </c>
    </row>
    <row r="6" customFormat="false" ht="15" hidden="false" customHeight="false" outlineLevel="0" collapsed="false">
      <c r="A6" s="5" t="n">
        <v>3</v>
      </c>
      <c r="B6" s="5" t="s">
        <v>23</v>
      </c>
      <c r="C6" s="5" t="n">
        <v>30</v>
      </c>
      <c r="D6" s="5" t="n">
        <v>30</v>
      </c>
      <c r="E6" s="5" t="n">
        <v>20</v>
      </c>
      <c r="F6" s="5" t="n">
        <v>3</v>
      </c>
      <c r="G6" s="5" t="n">
        <v>3</v>
      </c>
      <c r="H6" s="5" t="n">
        <v>3</v>
      </c>
      <c r="I6" s="5" t="n">
        <v>30</v>
      </c>
    </row>
    <row r="7" customFormat="false" ht="15" hidden="false" customHeight="false" outlineLevel="0" collapsed="false">
      <c r="A7" s="5" t="n">
        <v>3</v>
      </c>
      <c r="B7" s="5" t="s">
        <v>31</v>
      </c>
      <c r="C7" s="5" t="n">
        <v>30</v>
      </c>
      <c r="D7" s="5" t="n">
        <v>30</v>
      </c>
      <c r="E7" s="5" t="n">
        <v>20</v>
      </c>
      <c r="F7" s="5" t="n">
        <v>3</v>
      </c>
      <c r="G7" s="5" t="n">
        <v>3</v>
      </c>
      <c r="H7" s="5" t="n">
        <v>3</v>
      </c>
      <c r="I7" s="5" t="n">
        <v>30</v>
      </c>
    </row>
    <row r="8" customFormat="false" ht="15" hidden="false" customHeight="false" outlineLevel="0" collapsed="false">
      <c r="A8" s="5" t="n">
        <v>3</v>
      </c>
      <c r="B8" s="5" t="s">
        <v>20</v>
      </c>
      <c r="C8" s="5" t="n">
        <v>30</v>
      </c>
      <c r="D8" s="5" t="n">
        <v>30</v>
      </c>
      <c r="E8" s="5" t="n">
        <v>20</v>
      </c>
      <c r="F8" s="5" t="n">
        <v>3</v>
      </c>
      <c r="G8" s="5" t="n">
        <v>3</v>
      </c>
      <c r="H8" s="5" t="n">
        <v>3</v>
      </c>
      <c r="I8" s="5" t="n">
        <v>30</v>
      </c>
    </row>
    <row r="9" customFormat="false" ht="15" hidden="false" customHeight="false" outlineLevel="0" collapsed="false">
      <c r="A9" s="5" t="n">
        <v>4</v>
      </c>
      <c r="B9" s="5" t="s">
        <v>6</v>
      </c>
      <c r="C9" s="5" t="n">
        <v>20</v>
      </c>
      <c r="D9" s="5" t="n">
        <v>20</v>
      </c>
      <c r="E9" s="5" t="n">
        <v>10</v>
      </c>
      <c r="F9" s="5" t="n">
        <v>4</v>
      </c>
      <c r="G9" s="5" t="n">
        <v>4</v>
      </c>
      <c r="H9" s="5" t="n">
        <v>4</v>
      </c>
      <c r="I9" s="5" t="n">
        <v>20</v>
      </c>
    </row>
    <row r="10" customFormat="false" ht="15" hidden="false" customHeight="false" outlineLevel="0" collapsed="false">
      <c r="A10" s="5" t="n">
        <v>4</v>
      </c>
      <c r="B10" s="5" t="s">
        <v>19</v>
      </c>
      <c r="C10" s="5" t="n">
        <v>20</v>
      </c>
      <c r="D10" s="5" t="n">
        <v>20</v>
      </c>
      <c r="E10" s="5" t="n">
        <v>10</v>
      </c>
      <c r="F10" s="5" t="n">
        <v>4</v>
      </c>
      <c r="G10" s="5" t="n">
        <v>4</v>
      </c>
      <c r="H10" s="5" t="n">
        <v>4</v>
      </c>
      <c r="I10" s="5" t="n">
        <v>20</v>
      </c>
    </row>
    <row r="11" customFormat="false" ht="15" hidden="false" customHeight="false" outlineLevel="0" collapsed="false">
      <c r="A11" s="5" t="n">
        <v>5</v>
      </c>
      <c r="B11" s="5" t="s">
        <v>17</v>
      </c>
      <c r="C11" s="5" t="n">
        <v>10</v>
      </c>
      <c r="D11" s="5" t="n">
        <v>10</v>
      </c>
      <c r="E11" s="5" t="n">
        <v>40</v>
      </c>
      <c r="F11" s="5" t="n">
        <v>5</v>
      </c>
      <c r="G11" s="5" t="n">
        <v>5</v>
      </c>
      <c r="H11" s="5" t="n">
        <v>1</v>
      </c>
      <c r="I11" s="5" t="n">
        <v>10</v>
      </c>
    </row>
    <row r="12" customFormat="false" ht="15" hidden="false" customHeight="false" outlineLevel="0" collapsed="false">
      <c r="A12" s="5" t="n">
        <v>5</v>
      </c>
      <c r="B12" s="5" t="s">
        <v>9</v>
      </c>
      <c r="C12" s="5" t="n">
        <v>10</v>
      </c>
      <c r="D12" s="5" t="n">
        <v>10</v>
      </c>
      <c r="E12" s="5" t="n">
        <v>40</v>
      </c>
      <c r="F12" s="5" t="n">
        <v>5</v>
      </c>
      <c r="G12" s="5" t="n">
        <v>5</v>
      </c>
      <c r="H12" s="5" t="n">
        <v>1</v>
      </c>
      <c r="I12" s="5" t="n">
        <v>10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671875" defaultRowHeight="15" customHeight="true" zeroHeight="false" outlineLevelRow="0" outlineLevelCol="0"/>
  <cols>
    <col collapsed="false" customWidth="true" hidden="false" outlineLevel="0" max="1" min="1" style="1" width="25.74"/>
    <col collapsed="false" customWidth="true" hidden="false" outlineLevel="0" max="2" min="2" style="1" width="29.63"/>
    <col collapsed="false" customWidth="true" hidden="false" outlineLevel="0" max="3" min="3" style="1" width="27.75"/>
    <col collapsed="false" customWidth="true" hidden="false" outlineLevel="0" max="4" min="4" style="1" width="22.89"/>
    <col collapsed="false" customWidth="true" hidden="false" outlineLevel="0" max="8" min="5" style="1" width="20"/>
    <col collapsed="false" customWidth="true" hidden="false" outlineLevel="0" max="9" min="9" style="1" width="15.75"/>
    <col collapsed="false" customWidth="true" hidden="false" outlineLevel="0" max="26" min="10" style="1" width="7.75"/>
  </cols>
  <sheetData>
    <row r="1" customFormat="false" ht="1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41</v>
      </c>
      <c r="G1" s="3" t="s">
        <v>42</v>
      </c>
      <c r="H1" s="3" t="s">
        <v>43</v>
      </c>
      <c r="I1" s="4" t="s">
        <v>5</v>
      </c>
    </row>
    <row r="2" customFormat="false" ht="15" hidden="false" customHeight="false" outlineLevel="0" collapsed="false">
      <c r="A2" s="5" t="n">
        <v>1</v>
      </c>
      <c r="B2" s="5" t="s">
        <v>7</v>
      </c>
      <c r="C2" s="5" t="n">
        <v>20</v>
      </c>
      <c r="D2" s="5" t="n">
        <v>30</v>
      </c>
      <c r="E2" s="5" t="n">
        <v>50</v>
      </c>
      <c r="F2" s="5" t="n">
        <v>4</v>
      </c>
      <c r="G2" s="5" t="n">
        <v>3</v>
      </c>
      <c r="H2" s="5" t="n">
        <v>1</v>
      </c>
      <c r="I2" s="5" t="n">
        <v>50</v>
      </c>
    </row>
    <row r="3" customFormat="false" ht="15" hidden="false" customHeight="false" outlineLevel="0" collapsed="false">
      <c r="A3" s="5" t="n">
        <v>1</v>
      </c>
      <c r="B3" s="5" t="s">
        <v>9</v>
      </c>
      <c r="C3" s="5" t="n">
        <v>20</v>
      </c>
      <c r="D3" s="5" t="n">
        <v>30</v>
      </c>
      <c r="E3" s="5" t="n">
        <v>50</v>
      </c>
      <c r="F3" s="5" t="n">
        <v>4</v>
      </c>
      <c r="G3" s="5" t="n">
        <v>3</v>
      </c>
      <c r="H3" s="5" t="n">
        <v>1</v>
      </c>
      <c r="I3" s="5" t="n">
        <v>50</v>
      </c>
    </row>
    <row r="4" customFormat="false" ht="15" hidden="false" customHeight="false" outlineLevel="0" collapsed="false">
      <c r="A4" s="5" t="n">
        <v>2</v>
      </c>
      <c r="B4" s="5" t="s">
        <v>24</v>
      </c>
      <c r="C4" s="5" t="n">
        <v>30</v>
      </c>
      <c r="D4" s="5" t="n">
        <v>50</v>
      </c>
      <c r="E4" s="5" t="n">
        <v>20</v>
      </c>
      <c r="F4" s="5" t="n">
        <v>3</v>
      </c>
      <c r="G4" s="5" t="n">
        <v>1</v>
      </c>
      <c r="H4" s="5" t="n">
        <v>4</v>
      </c>
      <c r="I4" s="5" t="n">
        <v>40</v>
      </c>
    </row>
    <row r="5" customFormat="false" ht="15" hidden="false" customHeight="false" outlineLevel="0" collapsed="false">
      <c r="A5" s="5" t="n">
        <v>2</v>
      </c>
      <c r="B5" s="5" t="s">
        <v>13</v>
      </c>
      <c r="C5" s="5" t="n">
        <v>30</v>
      </c>
      <c r="D5" s="5" t="n">
        <v>50</v>
      </c>
      <c r="E5" s="5" t="n">
        <v>20</v>
      </c>
      <c r="F5" s="5" t="n">
        <v>3</v>
      </c>
      <c r="G5" s="5" t="n">
        <v>1</v>
      </c>
      <c r="H5" s="5" t="n">
        <v>4</v>
      </c>
      <c r="I5" s="5" t="n">
        <v>40</v>
      </c>
    </row>
    <row r="6" customFormat="false" ht="15" hidden="false" customHeight="false" outlineLevel="0" collapsed="false">
      <c r="A6" s="5" t="n">
        <v>3</v>
      </c>
      <c r="B6" s="5" t="s">
        <v>19</v>
      </c>
      <c r="C6" s="5" t="n">
        <v>40</v>
      </c>
      <c r="D6" s="5" t="n">
        <v>10</v>
      </c>
      <c r="E6" s="5" t="n">
        <v>40</v>
      </c>
      <c r="F6" s="5" t="n">
        <v>2</v>
      </c>
      <c r="G6" s="5" t="n">
        <v>5</v>
      </c>
      <c r="H6" s="5" t="n">
        <v>2</v>
      </c>
      <c r="I6" s="5" t="n">
        <v>30</v>
      </c>
    </row>
    <row r="7" customFormat="false" ht="15" hidden="false" customHeight="false" outlineLevel="0" collapsed="false">
      <c r="A7" s="5" t="n">
        <v>3</v>
      </c>
      <c r="B7" s="5" t="s">
        <v>6</v>
      </c>
      <c r="C7" s="5" t="n">
        <v>40</v>
      </c>
      <c r="D7" s="5" t="n">
        <v>10</v>
      </c>
      <c r="E7" s="5" t="n">
        <v>40</v>
      </c>
      <c r="F7" s="5" t="n">
        <v>2</v>
      </c>
      <c r="G7" s="5" t="n">
        <v>5</v>
      </c>
      <c r="H7" s="5" t="n">
        <v>2</v>
      </c>
      <c r="I7" s="5" t="n">
        <v>30</v>
      </c>
    </row>
    <row r="8" customFormat="false" ht="15" hidden="false" customHeight="false" outlineLevel="0" collapsed="false">
      <c r="A8" s="5" t="n">
        <v>4</v>
      </c>
      <c r="B8" s="5" t="s">
        <v>18</v>
      </c>
      <c r="C8" s="5" t="n">
        <v>50</v>
      </c>
      <c r="D8" s="5" t="n">
        <v>20</v>
      </c>
      <c r="E8" s="5" t="n">
        <v>10</v>
      </c>
      <c r="F8" s="5" t="n">
        <v>1</v>
      </c>
      <c r="G8" s="5" t="n">
        <v>4</v>
      </c>
      <c r="H8" s="5" t="n">
        <v>5</v>
      </c>
      <c r="I8" s="5" t="n">
        <v>20</v>
      </c>
    </row>
    <row r="9" customFormat="false" ht="15" hidden="false" customHeight="false" outlineLevel="0" collapsed="false">
      <c r="A9" s="5" t="n">
        <v>4</v>
      </c>
      <c r="B9" s="5" t="s">
        <v>11</v>
      </c>
      <c r="C9" s="5" t="n">
        <v>50</v>
      </c>
      <c r="D9" s="5" t="n">
        <v>20</v>
      </c>
      <c r="E9" s="5" t="n">
        <v>10</v>
      </c>
      <c r="F9" s="5" t="n">
        <v>1</v>
      </c>
      <c r="G9" s="5" t="n">
        <v>4</v>
      </c>
      <c r="H9" s="5" t="n">
        <v>5</v>
      </c>
      <c r="I9" s="5" t="n">
        <v>20</v>
      </c>
    </row>
    <row r="10" customFormat="false" ht="15" hidden="false" customHeight="false" outlineLevel="0" collapsed="false">
      <c r="A10" s="5" t="n">
        <v>5</v>
      </c>
      <c r="B10" s="5" t="s">
        <v>28</v>
      </c>
      <c r="C10" s="5" t="n">
        <v>10</v>
      </c>
      <c r="D10" s="5" t="n">
        <v>40</v>
      </c>
      <c r="E10" s="5" t="n">
        <v>30</v>
      </c>
      <c r="F10" s="5" t="n">
        <v>5</v>
      </c>
      <c r="G10" s="5" t="n">
        <v>2</v>
      </c>
      <c r="H10" s="5" t="n">
        <v>3</v>
      </c>
      <c r="I10" s="5" t="n">
        <v>10</v>
      </c>
    </row>
    <row r="11" customFormat="false" ht="15" hidden="false" customHeight="false" outlineLevel="0" collapsed="false">
      <c r="A11" s="5" t="n">
        <v>5</v>
      </c>
      <c r="B11" s="5" t="s">
        <v>20</v>
      </c>
      <c r="C11" s="5" t="n">
        <v>10</v>
      </c>
      <c r="D11" s="5" t="n">
        <v>40</v>
      </c>
      <c r="E11" s="5" t="n">
        <v>30</v>
      </c>
      <c r="F11" s="5" t="n">
        <v>5</v>
      </c>
      <c r="G11" s="5" t="n">
        <v>2</v>
      </c>
      <c r="H11" s="5" t="n">
        <v>3</v>
      </c>
      <c r="I11" s="5" t="n">
        <v>10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671875" defaultRowHeight="15" customHeight="true" zeroHeight="false" outlineLevelRow="0" outlineLevelCol="0"/>
  <cols>
    <col collapsed="false" customWidth="true" hidden="false" outlineLevel="0" max="1" min="1" style="1" width="25.74"/>
    <col collapsed="false" customWidth="true" hidden="false" outlineLevel="0" max="2" min="2" style="1" width="29.63"/>
    <col collapsed="false" customWidth="true" hidden="false" outlineLevel="0" max="3" min="3" style="1" width="27.75"/>
    <col collapsed="false" customWidth="true" hidden="false" outlineLevel="0" max="4" min="4" style="1" width="22.89"/>
    <col collapsed="false" customWidth="true" hidden="false" outlineLevel="0" max="8" min="5" style="1" width="20"/>
    <col collapsed="false" customWidth="true" hidden="false" outlineLevel="0" max="9" min="9" style="1" width="17.25"/>
    <col collapsed="false" customWidth="true" hidden="false" outlineLevel="0" max="26" min="10" style="1" width="7.75"/>
  </cols>
  <sheetData>
    <row r="1" customFormat="false" ht="1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41</v>
      </c>
      <c r="G1" s="3" t="s">
        <v>42</v>
      </c>
      <c r="H1" s="3" t="s">
        <v>43</v>
      </c>
      <c r="I1" s="4" t="s">
        <v>5</v>
      </c>
    </row>
    <row r="2" customFormat="false" ht="15" hidden="false" customHeight="false" outlineLevel="0" collapsed="false">
      <c r="A2" s="5" t="n">
        <v>1</v>
      </c>
      <c r="B2" s="5" t="s">
        <v>7</v>
      </c>
      <c r="C2" s="5" t="n">
        <v>50</v>
      </c>
      <c r="D2" s="5" t="n">
        <v>40</v>
      </c>
      <c r="E2" s="5" t="n">
        <v>20</v>
      </c>
      <c r="F2" s="5" t="n">
        <v>1</v>
      </c>
      <c r="G2" s="5" t="n">
        <v>2</v>
      </c>
      <c r="H2" s="5" t="n">
        <v>4</v>
      </c>
      <c r="I2" s="5" t="n">
        <v>50</v>
      </c>
    </row>
    <row r="3" customFormat="false" ht="15" hidden="false" customHeight="false" outlineLevel="0" collapsed="false">
      <c r="A3" s="5" t="n">
        <v>1</v>
      </c>
      <c r="B3" s="5" t="s">
        <v>10</v>
      </c>
      <c r="C3" s="5" t="n">
        <v>50</v>
      </c>
      <c r="D3" s="5" t="n">
        <v>40</v>
      </c>
      <c r="E3" s="5" t="n">
        <v>20</v>
      </c>
      <c r="F3" s="5" t="n">
        <v>1</v>
      </c>
      <c r="G3" s="5" t="n">
        <v>2</v>
      </c>
      <c r="H3" s="5" t="n">
        <v>4</v>
      </c>
      <c r="I3" s="5" t="n">
        <v>50</v>
      </c>
    </row>
    <row r="4" customFormat="false" ht="15" hidden="false" customHeight="false" outlineLevel="0" collapsed="false">
      <c r="A4" s="5" t="n">
        <v>2</v>
      </c>
      <c r="B4" s="5" t="s">
        <v>26</v>
      </c>
      <c r="C4" s="5" t="n">
        <v>40</v>
      </c>
      <c r="D4" s="5" t="n">
        <v>50</v>
      </c>
      <c r="E4" s="5" t="n">
        <v>10</v>
      </c>
      <c r="F4" s="5" t="n">
        <v>2</v>
      </c>
      <c r="G4" s="5" t="n">
        <v>1</v>
      </c>
      <c r="H4" s="5" t="n">
        <v>5</v>
      </c>
      <c r="I4" s="5" t="n">
        <v>40</v>
      </c>
    </row>
    <row r="5" customFormat="false" ht="15" hidden="false" customHeight="false" outlineLevel="0" collapsed="false">
      <c r="A5" s="5" t="n">
        <v>2</v>
      </c>
      <c r="B5" s="5" t="s">
        <v>8</v>
      </c>
      <c r="C5" s="5" t="n">
        <v>40</v>
      </c>
      <c r="D5" s="5" t="n">
        <v>50</v>
      </c>
      <c r="E5" s="5" t="n">
        <v>10</v>
      </c>
      <c r="F5" s="5" t="n">
        <v>2</v>
      </c>
      <c r="G5" s="5" t="n">
        <v>1</v>
      </c>
      <c r="H5" s="5" t="n">
        <v>5</v>
      </c>
      <c r="I5" s="5" t="n">
        <v>40</v>
      </c>
    </row>
    <row r="6" customFormat="false" ht="15" hidden="false" customHeight="false" outlineLevel="0" collapsed="false">
      <c r="A6" s="5" t="n">
        <v>2</v>
      </c>
      <c r="B6" s="5" t="s">
        <v>6</v>
      </c>
      <c r="C6" s="5" t="n">
        <v>20</v>
      </c>
      <c r="D6" s="5" t="n">
        <v>30</v>
      </c>
      <c r="E6" s="5" t="n">
        <v>50</v>
      </c>
      <c r="F6" s="5" t="n">
        <v>4</v>
      </c>
      <c r="G6" s="5" t="n">
        <v>3</v>
      </c>
      <c r="H6" s="5" t="n">
        <v>1</v>
      </c>
      <c r="I6" s="5" t="n">
        <v>40</v>
      </c>
    </row>
    <row r="7" customFormat="false" ht="15" hidden="false" customHeight="false" outlineLevel="0" collapsed="false">
      <c r="A7" s="5" t="n">
        <v>2</v>
      </c>
      <c r="B7" s="5" t="s">
        <v>17</v>
      </c>
      <c r="C7" s="5" t="n">
        <v>20</v>
      </c>
      <c r="D7" s="5" t="n">
        <v>30</v>
      </c>
      <c r="E7" s="5" t="n">
        <v>50</v>
      </c>
      <c r="F7" s="5" t="n">
        <v>4</v>
      </c>
      <c r="G7" s="5" t="n">
        <v>3</v>
      </c>
      <c r="H7" s="5" t="n">
        <v>1</v>
      </c>
      <c r="I7" s="5" t="n">
        <v>40</v>
      </c>
    </row>
    <row r="8" customFormat="false" ht="15" hidden="false" customHeight="false" outlineLevel="0" collapsed="false">
      <c r="A8" s="5" t="n">
        <v>4</v>
      </c>
      <c r="B8" s="5" t="s">
        <v>31</v>
      </c>
      <c r="C8" s="5" t="n">
        <v>30</v>
      </c>
      <c r="D8" s="5" t="n">
        <v>10</v>
      </c>
      <c r="E8" s="5" t="n">
        <v>40</v>
      </c>
      <c r="F8" s="5" t="n">
        <v>3</v>
      </c>
      <c r="G8" s="5" t="n">
        <v>5</v>
      </c>
      <c r="H8" s="5" t="n">
        <v>2</v>
      </c>
      <c r="I8" s="5" t="n">
        <v>20</v>
      </c>
    </row>
    <row r="9" customFormat="false" ht="15" hidden="false" customHeight="false" outlineLevel="0" collapsed="false">
      <c r="A9" s="5" t="n">
        <v>4</v>
      </c>
      <c r="B9" s="5" t="s">
        <v>9</v>
      </c>
      <c r="C9" s="5" t="n">
        <v>30</v>
      </c>
      <c r="D9" s="5" t="n">
        <v>10</v>
      </c>
      <c r="E9" s="5" t="n">
        <v>40</v>
      </c>
      <c r="F9" s="5" t="n">
        <v>3</v>
      </c>
      <c r="G9" s="5" t="n">
        <v>5</v>
      </c>
      <c r="H9" s="5" t="n">
        <v>2</v>
      </c>
      <c r="I9" s="5" t="n">
        <v>20</v>
      </c>
    </row>
    <row r="10" customFormat="false" ht="15" hidden="false" customHeight="false" outlineLevel="0" collapsed="false">
      <c r="A10" s="5" t="n">
        <v>5</v>
      </c>
      <c r="B10" s="5" t="s">
        <v>19</v>
      </c>
      <c r="C10" s="5" t="n">
        <v>10</v>
      </c>
      <c r="D10" s="5" t="n">
        <v>20</v>
      </c>
      <c r="E10" s="5" t="n">
        <v>30</v>
      </c>
      <c r="F10" s="5" t="n">
        <v>5</v>
      </c>
      <c r="G10" s="5" t="n">
        <v>4</v>
      </c>
      <c r="H10" s="5" t="n">
        <v>3</v>
      </c>
      <c r="I10" s="5" t="n">
        <v>10</v>
      </c>
    </row>
    <row r="11" customFormat="false" ht="15" hidden="false" customHeight="false" outlineLevel="0" collapsed="false">
      <c r="A11" s="5" t="n">
        <v>5</v>
      </c>
      <c r="B11" s="5" t="s">
        <v>25</v>
      </c>
      <c r="C11" s="5" t="n">
        <v>10</v>
      </c>
      <c r="D11" s="5" t="n">
        <v>20</v>
      </c>
      <c r="E11" s="5" t="n">
        <v>30</v>
      </c>
      <c r="F11" s="5" t="n">
        <v>5</v>
      </c>
      <c r="G11" s="5" t="n">
        <v>4</v>
      </c>
      <c r="H11" s="5" t="n">
        <v>3</v>
      </c>
      <c r="I11" s="5" t="n">
        <v>10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671875" defaultRowHeight="15" customHeight="true" zeroHeight="false" outlineLevelRow="0" outlineLevelCol="0"/>
  <cols>
    <col collapsed="false" customWidth="true" hidden="false" outlineLevel="0" max="1" min="1" style="1" width="25.74"/>
    <col collapsed="false" customWidth="true" hidden="false" outlineLevel="0" max="2" min="2" style="1" width="29.63"/>
    <col collapsed="false" customWidth="true" hidden="false" outlineLevel="0" max="3" min="3" style="1" width="27.75"/>
    <col collapsed="false" customWidth="true" hidden="false" outlineLevel="0" max="4" min="4" style="1" width="22.89"/>
    <col collapsed="false" customWidth="true" hidden="false" outlineLevel="0" max="8" min="5" style="1" width="20"/>
    <col collapsed="false" customWidth="true" hidden="false" outlineLevel="0" max="9" min="9" style="1" width="21.63"/>
    <col collapsed="false" customWidth="true" hidden="false" outlineLevel="0" max="26" min="10" style="1" width="7.75"/>
  </cols>
  <sheetData>
    <row r="1" customFormat="false" ht="1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41</v>
      </c>
      <c r="G1" s="3" t="s">
        <v>42</v>
      </c>
      <c r="H1" s="3" t="s">
        <v>43</v>
      </c>
      <c r="I1" s="4" t="s">
        <v>5</v>
      </c>
    </row>
    <row r="2" customFormat="false" ht="15" hidden="false" customHeight="false" outlineLevel="0" collapsed="false">
      <c r="A2" s="5" t="n">
        <v>1</v>
      </c>
      <c r="B2" s="5" t="s">
        <v>11</v>
      </c>
      <c r="C2" s="5" t="n">
        <v>50</v>
      </c>
      <c r="D2" s="5" t="n">
        <v>70</v>
      </c>
      <c r="E2" s="5" t="n">
        <v>80</v>
      </c>
      <c r="F2" s="5" t="n">
        <v>4</v>
      </c>
      <c r="G2" s="5" t="n">
        <v>2</v>
      </c>
      <c r="H2" s="5" t="n">
        <v>1</v>
      </c>
      <c r="I2" s="5" t="n">
        <v>80</v>
      </c>
    </row>
    <row r="3" customFormat="false" ht="15" hidden="false" customHeight="false" outlineLevel="0" collapsed="false">
      <c r="A3" s="5" t="n">
        <v>1</v>
      </c>
      <c r="B3" s="5" t="s">
        <v>9</v>
      </c>
      <c r="C3" s="5" t="n">
        <v>50</v>
      </c>
      <c r="D3" s="5" t="n">
        <v>70</v>
      </c>
      <c r="E3" s="5" t="n">
        <v>80</v>
      </c>
      <c r="F3" s="5" t="n">
        <v>4</v>
      </c>
      <c r="G3" s="5" t="n">
        <v>2</v>
      </c>
      <c r="H3" s="5" t="n">
        <v>1</v>
      </c>
      <c r="I3" s="5" t="n">
        <v>80</v>
      </c>
    </row>
    <row r="4" customFormat="false" ht="15" hidden="false" customHeight="false" outlineLevel="0" collapsed="false">
      <c r="A4" s="5" t="n">
        <v>2</v>
      </c>
      <c r="B4" s="5" t="s">
        <v>6</v>
      </c>
      <c r="C4" s="5" t="n">
        <v>80</v>
      </c>
      <c r="D4" s="5" t="n">
        <v>80</v>
      </c>
      <c r="E4" s="5" t="n">
        <v>20</v>
      </c>
      <c r="F4" s="5" t="n">
        <v>1</v>
      </c>
      <c r="G4" s="5" t="n">
        <v>1</v>
      </c>
      <c r="H4" s="5" t="n">
        <v>7</v>
      </c>
      <c r="I4" s="5" t="n">
        <v>70</v>
      </c>
    </row>
    <row r="5" customFormat="false" ht="15" hidden="false" customHeight="false" outlineLevel="0" collapsed="false">
      <c r="A5" s="5" t="n">
        <v>2</v>
      </c>
      <c r="B5" s="5" t="s">
        <v>18</v>
      </c>
      <c r="C5" s="5" t="n">
        <v>80</v>
      </c>
      <c r="D5" s="5" t="n">
        <v>80</v>
      </c>
      <c r="E5" s="5" t="n">
        <v>20</v>
      </c>
      <c r="F5" s="5" t="n">
        <v>1</v>
      </c>
      <c r="G5" s="5" t="n">
        <v>1</v>
      </c>
      <c r="H5" s="5" t="n">
        <v>7</v>
      </c>
      <c r="I5" s="5" t="n">
        <v>70</v>
      </c>
    </row>
    <row r="6" customFormat="false" ht="15" hidden="false" customHeight="false" outlineLevel="0" collapsed="false">
      <c r="A6" s="5" t="n">
        <v>2</v>
      </c>
      <c r="B6" s="5" t="s">
        <v>10</v>
      </c>
      <c r="C6" s="5" t="n">
        <v>70</v>
      </c>
      <c r="D6" s="5" t="n">
        <v>50</v>
      </c>
      <c r="E6" s="5" t="n">
        <v>60</v>
      </c>
      <c r="F6" s="5" t="n">
        <v>2</v>
      </c>
      <c r="G6" s="5" t="n">
        <v>4</v>
      </c>
      <c r="H6" s="5" t="n">
        <v>3</v>
      </c>
      <c r="I6" s="5" t="n">
        <v>70</v>
      </c>
    </row>
    <row r="7" customFormat="false" ht="15" hidden="false" customHeight="false" outlineLevel="0" collapsed="false">
      <c r="A7" s="5" t="n">
        <v>2</v>
      </c>
      <c r="B7" s="5" t="s">
        <v>29</v>
      </c>
      <c r="C7" s="5" t="n">
        <v>70</v>
      </c>
      <c r="D7" s="5" t="n">
        <v>50</v>
      </c>
      <c r="E7" s="5" t="n">
        <v>60</v>
      </c>
      <c r="F7" s="5" t="n">
        <v>2</v>
      </c>
      <c r="G7" s="5" t="n">
        <v>4</v>
      </c>
      <c r="H7" s="5" t="n">
        <v>3</v>
      </c>
      <c r="I7" s="5" t="n">
        <v>70</v>
      </c>
    </row>
    <row r="8" customFormat="false" ht="15" hidden="false" customHeight="false" outlineLevel="0" collapsed="false">
      <c r="A8" s="5" t="n">
        <v>4</v>
      </c>
      <c r="B8" s="5" t="s">
        <v>33</v>
      </c>
      <c r="C8" s="5" t="n">
        <v>60</v>
      </c>
      <c r="D8" s="5" t="n">
        <v>60</v>
      </c>
      <c r="E8" s="5" t="n">
        <v>50</v>
      </c>
      <c r="F8" s="5" t="n">
        <v>3</v>
      </c>
      <c r="G8" s="5" t="n">
        <v>3</v>
      </c>
      <c r="H8" s="5" t="n">
        <v>4</v>
      </c>
      <c r="I8" s="5" t="n">
        <v>50</v>
      </c>
    </row>
    <row r="9" customFormat="false" ht="15" hidden="false" customHeight="false" outlineLevel="0" collapsed="false">
      <c r="A9" s="5" t="n">
        <v>4</v>
      </c>
      <c r="B9" s="5" t="s">
        <v>32</v>
      </c>
      <c r="C9" s="5" t="n">
        <v>60</v>
      </c>
      <c r="D9" s="5" t="n">
        <v>60</v>
      </c>
      <c r="E9" s="5" t="n">
        <v>50</v>
      </c>
      <c r="F9" s="5" t="n">
        <v>3</v>
      </c>
      <c r="G9" s="5" t="n">
        <v>3</v>
      </c>
      <c r="H9" s="5" t="n">
        <v>4</v>
      </c>
      <c r="I9" s="5" t="n">
        <v>50</v>
      </c>
    </row>
    <row r="10" customFormat="false" ht="15" hidden="false" customHeight="false" outlineLevel="0" collapsed="false">
      <c r="A10" s="5" t="n">
        <v>5</v>
      </c>
      <c r="B10" s="5" t="s">
        <v>12</v>
      </c>
      <c r="C10" s="5" t="n">
        <v>40</v>
      </c>
      <c r="D10" s="5" t="n">
        <v>20</v>
      </c>
      <c r="E10" s="5" t="n">
        <v>70</v>
      </c>
      <c r="F10" s="5" t="n">
        <v>5</v>
      </c>
      <c r="G10" s="5" t="n">
        <v>7</v>
      </c>
      <c r="H10" s="5" t="n">
        <v>2</v>
      </c>
      <c r="I10" s="5" t="n">
        <v>40</v>
      </c>
    </row>
    <row r="11" customFormat="false" ht="15" hidden="false" customHeight="false" outlineLevel="0" collapsed="false">
      <c r="A11" s="5" t="n">
        <v>5</v>
      </c>
      <c r="B11" s="5" t="s">
        <v>22</v>
      </c>
      <c r="C11" s="5" t="n">
        <v>40</v>
      </c>
      <c r="D11" s="5" t="n">
        <v>20</v>
      </c>
      <c r="E11" s="5" t="n">
        <v>70</v>
      </c>
      <c r="F11" s="5" t="n">
        <v>5</v>
      </c>
      <c r="G11" s="5" t="n">
        <v>7</v>
      </c>
      <c r="H11" s="5" t="n">
        <v>2</v>
      </c>
      <c r="I11" s="5" t="n">
        <v>40</v>
      </c>
    </row>
    <row r="12" customFormat="false" ht="15" hidden="false" customHeight="false" outlineLevel="0" collapsed="false">
      <c r="A12" s="5" t="n">
        <v>6</v>
      </c>
      <c r="B12" s="5" t="s">
        <v>8</v>
      </c>
      <c r="C12" s="5" t="n">
        <v>30</v>
      </c>
      <c r="D12" s="5" t="n">
        <v>30</v>
      </c>
      <c r="E12" s="5" t="n">
        <v>40</v>
      </c>
      <c r="F12" s="5" t="n">
        <v>6</v>
      </c>
      <c r="G12" s="5" t="n">
        <v>6</v>
      </c>
      <c r="H12" s="5" t="n">
        <v>5</v>
      </c>
      <c r="I12" s="5" t="n">
        <v>30</v>
      </c>
    </row>
    <row r="13" customFormat="false" ht="15" hidden="false" customHeight="false" outlineLevel="0" collapsed="false">
      <c r="A13" s="5" t="n">
        <v>6</v>
      </c>
      <c r="B13" s="5" t="s">
        <v>13</v>
      </c>
      <c r="C13" s="5" t="n">
        <v>30</v>
      </c>
      <c r="D13" s="5" t="n">
        <v>30</v>
      </c>
      <c r="E13" s="5" t="n">
        <v>40</v>
      </c>
      <c r="F13" s="5" t="n">
        <v>6</v>
      </c>
      <c r="G13" s="5" t="n">
        <v>6</v>
      </c>
      <c r="H13" s="5" t="n">
        <v>5</v>
      </c>
      <c r="I13" s="5" t="n">
        <v>30</v>
      </c>
    </row>
    <row r="14" customFormat="false" ht="15" hidden="false" customHeight="false" outlineLevel="0" collapsed="false">
      <c r="A14" s="5" t="n">
        <v>7</v>
      </c>
      <c r="B14" s="5" t="s">
        <v>7</v>
      </c>
      <c r="C14" s="5" t="n">
        <v>20</v>
      </c>
      <c r="D14" s="5" t="n">
        <v>40</v>
      </c>
      <c r="E14" s="5" t="n">
        <v>30</v>
      </c>
      <c r="F14" s="5" t="n">
        <v>7</v>
      </c>
      <c r="G14" s="5" t="n">
        <v>5</v>
      </c>
      <c r="H14" s="5" t="n">
        <v>6</v>
      </c>
      <c r="I14" s="5" t="n">
        <v>20</v>
      </c>
    </row>
    <row r="15" customFormat="false" ht="15" hidden="false" customHeight="false" outlineLevel="0" collapsed="false">
      <c r="A15" s="5" t="n">
        <v>7</v>
      </c>
      <c r="B15" s="5" t="s">
        <v>20</v>
      </c>
      <c r="C15" s="5" t="n">
        <v>20</v>
      </c>
      <c r="D15" s="5" t="n">
        <v>40</v>
      </c>
      <c r="E15" s="5" t="n">
        <v>30</v>
      </c>
      <c r="F15" s="5" t="n">
        <v>7</v>
      </c>
      <c r="G15" s="5" t="n">
        <v>5</v>
      </c>
      <c r="H15" s="5" t="n">
        <v>6</v>
      </c>
      <c r="I15" s="5" t="n">
        <v>20</v>
      </c>
    </row>
    <row r="16" customFormat="false" ht="15" hidden="false" customHeight="false" outlineLevel="0" collapsed="false">
      <c r="A16" s="5" t="n">
        <v>8</v>
      </c>
      <c r="B16" s="5" t="s">
        <v>19</v>
      </c>
      <c r="C16" s="5" t="n">
        <v>10</v>
      </c>
      <c r="D16" s="5" t="n">
        <v>10</v>
      </c>
      <c r="E16" s="5" t="n">
        <v>10</v>
      </c>
      <c r="F16" s="5" t="n">
        <v>8</v>
      </c>
      <c r="G16" s="5" t="n">
        <v>8</v>
      </c>
      <c r="H16" s="5" t="n">
        <v>8</v>
      </c>
      <c r="I16" s="5" t="n">
        <v>10</v>
      </c>
    </row>
    <row r="17" customFormat="false" ht="15" hidden="false" customHeight="false" outlineLevel="0" collapsed="false">
      <c r="A17" s="5" t="n">
        <v>8</v>
      </c>
      <c r="B17" s="5" t="s">
        <v>40</v>
      </c>
      <c r="C17" s="5" t="n">
        <v>10</v>
      </c>
      <c r="D17" s="5" t="n">
        <v>10</v>
      </c>
      <c r="E17" s="5" t="n">
        <v>10</v>
      </c>
      <c r="F17" s="5" t="n">
        <v>8</v>
      </c>
      <c r="G17" s="5" t="n">
        <v>8</v>
      </c>
      <c r="H17" s="5" t="n">
        <v>8</v>
      </c>
      <c r="I17" s="5" t="n">
        <v>10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12.63671875" defaultRowHeight="15" customHeight="true" zeroHeight="false" outlineLevelRow="0" outlineLevelCol="0"/>
  <cols>
    <col collapsed="false" customWidth="true" hidden="false" outlineLevel="0" max="1" min="1" style="1" width="25.74"/>
    <col collapsed="false" customWidth="true" hidden="false" outlineLevel="0" max="2" min="2" style="1" width="29.63"/>
    <col collapsed="false" customWidth="true" hidden="false" outlineLevel="0" max="3" min="3" style="1" width="27.75"/>
    <col collapsed="false" customWidth="true" hidden="false" outlineLevel="0" max="4" min="4" style="1" width="22.89"/>
    <col collapsed="false" customWidth="true" hidden="false" outlineLevel="0" max="8" min="5" style="1" width="20"/>
    <col collapsed="false" customWidth="true" hidden="false" outlineLevel="0" max="9" min="9" style="1" width="18.38"/>
    <col collapsed="false" customWidth="true" hidden="false" outlineLevel="0" max="26" min="10" style="1" width="7.75"/>
  </cols>
  <sheetData>
    <row r="1" customFormat="false" ht="1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41</v>
      </c>
      <c r="G1" s="3" t="s">
        <v>42</v>
      </c>
      <c r="H1" s="3" t="s">
        <v>43</v>
      </c>
      <c r="I1" s="4" t="s">
        <v>5</v>
      </c>
    </row>
    <row r="2" customFormat="false" ht="15" hidden="false" customHeight="false" outlineLevel="0" collapsed="false">
      <c r="A2" s="5" t="n">
        <v>1</v>
      </c>
      <c r="B2" s="5" t="s">
        <v>10</v>
      </c>
      <c r="C2" s="5" t="n">
        <v>90</v>
      </c>
      <c r="D2" s="5" t="n">
        <v>50</v>
      </c>
      <c r="E2" s="5" t="n">
        <v>80</v>
      </c>
      <c r="F2" s="5" t="n">
        <v>1</v>
      </c>
      <c r="G2" s="5" t="n">
        <v>5</v>
      </c>
      <c r="H2" s="5" t="n">
        <v>2</v>
      </c>
      <c r="I2" s="5" t="n">
        <v>90</v>
      </c>
    </row>
    <row r="3" customFormat="false" ht="15" hidden="false" customHeight="false" outlineLevel="0" collapsed="false">
      <c r="A3" s="5" t="n">
        <v>1</v>
      </c>
      <c r="B3" s="5" t="s">
        <v>12</v>
      </c>
      <c r="C3" s="5" t="n">
        <v>90</v>
      </c>
      <c r="D3" s="5" t="n">
        <v>50</v>
      </c>
      <c r="E3" s="5" t="n">
        <v>80</v>
      </c>
      <c r="F3" s="5" t="n">
        <v>1</v>
      </c>
      <c r="G3" s="5" t="n">
        <v>5</v>
      </c>
      <c r="H3" s="5" t="n">
        <v>2</v>
      </c>
      <c r="I3" s="5" t="n">
        <v>90</v>
      </c>
    </row>
    <row r="4" customFormat="false" ht="15" hidden="false" customHeight="false" outlineLevel="0" collapsed="false">
      <c r="A4" s="5" t="n">
        <v>2</v>
      </c>
      <c r="B4" s="5" t="s">
        <v>8</v>
      </c>
      <c r="C4" s="5" t="n">
        <v>60</v>
      </c>
      <c r="D4" s="5" t="n">
        <v>90</v>
      </c>
      <c r="E4" s="5" t="n">
        <v>40</v>
      </c>
      <c r="F4" s="5" t="n">
        <v>4</v>
      </c>
      <c r="G4" s="5" t="n">
        <v>1</v>
      </c>
      <c r="H4" s="5" t="n">
        <v>6</v>
      </c>
      <c r="I4" s="5" t="n">
        <v>80</v>
      </c>
    </row>
    <row r="5" customFormat="false" ht="15" hidden="false" customHeight="false" outlineLevel="0" collapsed="false">
      <c r="A5" s="5" t="n">
        <v>2</v>
      </c>
      <c r="B5" s="5" t="s">
        <v>21</v>
      </c>
      <c r="C5" s="5" t="n">
        <v>60</v>
      </c>
      <c r="D5" s="5" t="n">
        <v>90</v>
      </c>
      <c r="E5" s="5" t="n">
        <v>40</v>
      </c>
      <c r="F5" s="5" t="n">
        <v>4</v>
      </c>
      <c r="G5" s="5" t="n">
        <v>1</v>
      </c>
      <c r="H5" s="5" t="n">
        <v>6</v>
      </c>
      <c r="I5" s="5" t="n">
        <v>80</v>
      </c>
    </row>
    <row r="6" customFormat="false" ht="15" hidden="false" customHeight="false" outlineLevel="0" collapsed="false">
      <c r="A6" s="5" t="n">
        <v>3</v>
      </c>
      <c r="B6" s="5" t="s">
        <v>9</v>
      </c>
      <c r="C6" s="5" t="n">
        <v>70</v>
      </c>
      <c r="D6" s="5" t="n">
        <v>40</v>
      </c>
      <c r="E6" s="5" t="n">
        <v>70</v>
      </c>
      <c r="F6" s="5" t="n">
        <v>3</v>
      </c>
      <c r="G6" s="5" t="n">
        <v>6</v>
      </c>
      <c r="H6" s="5" t="n">
        <v>3</v>
      </c>
      <c r="I6" s="5" t="n">
        <v>70</v>
      </c>
    </row>
    <row r="7" customFormat="false" ht="15" hidden="false" customHeight="false" outlineLevel="0" collapsed="false">
      <c r="A7" s="5" t="n">
        <v>3</v>
      </c>
      <c r="B7" s="5" t="s">
        <v>14</v>
      </c>
      <c r="C7" s="5" t="n">
        <v>70</v>
      </c>
      <c r="D7" s="5" t="n">
        <v>40</v>
      </c>
      <c r="E7" s="5" t="n">
        <v>70</v>
      </c>
      <c r="F7" s="5" t="n">
        <v>3</v>
      </c>
      <c r="G7" s="5" t="n">
        <v>6</v>
      </c>
      <c r="H7" s="5" t="n">
        <v>3</v>
      </c>
      <c r="I7" s="5" t="n">
        <v>70</v>
      </c>
    </row>
    <row r="8" customFormat="false" ht="15" hidden="false" customHeight="false" outlineLevel="0" collapsed="false">
      <c r="A8" s="5" t="n">
        <v>4</v>
      </c>
      <c r="B8" s="5" t="s">
        <v>6</v>
      </c>
      <c r="C8" s="5" t="n">
        <v>20</v>
      </c>
      <c r="D8" s="5" t="n">
        <v>80</v>
      </c>
      <c r="E8" s="5" t="n">
        <v>60</v>
      </c>
      <c r="F8" s="5" t="n">
        <v>8</v>
      </c>
      <c r="G8" s="5" t="n">
        <v>2</v>
      </c>
      <c r="H8" s="5" t="n">
        <v>4</v>
      </c>
      <c r="I8" s="5" t="n">
        <v>60</v>
      </c>
    </row>
    <row r="9" customFormat="false" ht="15" hidden="false" customHeight="false" outlineLevel="0" collapsed="false">
      <c r="A9" s="5" t="n">
        <v>4</v>
      </c>
      <c r="B9" s="5" t="s">
        <v>23</v>
      </c>
      <c r="C9" s="5" t="n">
        <v>20</v>
      </c>
      <c r="D9" s="5" t="n">
        <v>80</v>
      </c>
      <c r="E9" s="5" t="n">
        <v>60</v>
      </c>
      <c r="F9" s="5" t="n">
        <v>8</v>
      </c>
      <c r="G9" s="5" t="n">
        <v>2</v>
      </c>
      <c r="H9" s="5" t="n">
        <v>4</v>
      </c>
      <c r="I9" s="5" t="n">
        <v>60</v>
      </c>
    </row>
    <row r="10" customFormat="false" ht="15" hidden="false" customHeight="false" outlineLevel="0" collapsed="false">
      <c r="A10" s="5" t="n">
        <v>5</v>
      </c>
      <c r="B10" s="5" t="s">
        <v>13</v>
      </c>
      <c r="C10" s="5" t="n">
        <v>40</v>
      </c>
      <c r="D10" s="5" t="n">
        <v>30</v>
      </c>
      <c r="E10" s="5" t="n">
        <v>90</v>
      </c>
      <c r="F10" s="5" t="n">
        <v>6</v>
      </c>
      <c r="G10" s="5" t="n">
        <v>7</v>
      </c>
      <c r="H10" s="5" t="n">
        <v>1</v>
      </c>
      <c r="I10" s="5" t="n">
        <v>50</v>
      </c>
    </row>
    <row r="11" customFormat="false" ht="15" hidden="false" customHeight="false" outlineLevel="0" collapsed="false">
      <c r="A11" s="5" t="n">
        <v>5</v>
      </c>
      <c r="B11" s="5" t="s">
        <v>16</v>
      </c>
      <c r="C11" s="5" t="n">
        <v>40</v>
      </c>
      <c r="D11" s="5" t="n">
        <v>30</v>
      </c>
      <c r="E11" s="5" t="n">
        <v>90</v>
      </c>
      <c r="F11" s="5" t="n">
        <v>6</v>
      </c>
      <c r="G11" s="5" t="n">
        <v>7</v>
      </c>
      <c r="H11" s="5" t="n">
        <v>1</v>
      </c>
      <c r="I11" s="5" t="n">
        <v>50</v>
      </c>
    </row>
    <row r="12" customFormat="false" ht="15" hidden="false" customHeight="false" outlineLevel="0" collapsed="false">
      <c r="A12" s="5" t="n">
        <v>6</v>
      </c>
      <c r="B12" s="5" t="s">
        <v>7</v>
      </c>
      <c r="C12" s="5" t="n">
        <v>50</v>
      </c>
      <c r="D12" s="5" t="n">
        <v>70</v>
      </c>
      <c r="E12" s="5" t="n">
        <v>30</v>
      </c>
      <c r="F12" s="5" t="n">
        <v>5</v>
      </c>
      <c r="G12" s="5" t="n">
        <v>3</v>
      </c>
      <c r="H12" s="5" t="n">
        <v>7</v>
      </c>
      <c r="I12" s="5" t="n">
        <v>40</v>
      </c>
    </row>
    <row r="13" customFormat="false" ht="15" hidden="false" customHeight="false" outlineLevel="0" collapsed="false">
      <c r="A13" s="5" t="n">
        <v>6</v>
      </c>
      <c r="B13" s="5" t="s">
        <v>19</v>
      </c>
      <c r="C13" s="5" t="n">
        <v>50</v>
      </c>
      <c r="D13" s="5" t="n">
        <v>70</v>
      </c>
      <c r="E13" s="5" t="n">
        <v>30</v>
      </c>
      <c r="F13" s="5" t="n">
        <v>5</v>
      </c>
      <c r="G13" s="5" t="n">
        <v>3</v>
      </c>
      <c r="H13" s="5" t="n">
        <v>7</v>
      </c>
      <c r="I13" s="5" t="n">
        <v>40</v>
      </c>
    </row>
    <row r="14" customFormat="false" ht="15" hidden="false" customHeight="false" outlineLevel="0" collapsed="false">
      <c r="A14" s="5" t="n">
        <v>7</v>
      </c>
      <c r="B14" s="5" t="s">
        <v>22</v>
      </c>
      <c r="C14" s="5" t="n">
        <v>80</v>
      </c>
      <c r="D14" s="5" t="n">
        <v>10</v>
      </c>
      <c r="E14" s="5" t="n">
        <v>50</v>
      </c>
      <c r="F14" s="5" t="n">
        <v>2</v>
      </c>
      <c r="G14" s="5" t="n">
        <v>9</v>
      </c>
      <c r="H14" s="5" t="n">
        <v>5</v>
      </c>
      <c r="I14" s="5" t="n">
        <v>30</v>
      </c>
    </row>
    <row r="15" customFormat="false" ht="15" hidden="false" customHeight="false" outlineLevel="0" collapsed="false">
      <c r="A15" s="5" t="n">
        <v>7</v>
      </c>
      <c r="B15" s="5" t="s">
        <v>17</v>
      </c>
      <c r="C15" s="5" t="n">
        <v>80</v>
      </c>
      <c r="D15" s="5" t="n">
        <v>10</v>
      </c>
      <c r="E15" s="5" t="n">
        <v>50</v>
      </c>
      <c r="F15" s="5" t="n">
        <v>2</v>
      </c>
      <c r="G15" s="5" t="n">
        <v>9</v>
      </c>
      <c r="H15" s="5" t="n">
        <v>5</v>
      </c>
      <c r="I15" s="5" t="n">
        <v>30</v>
      </c>
    </row>
    <row r="16" customFormat="false" ht="15" hidden="false" customHeight="false" outlineLevel="0" collapsed="false">
      <c r="A16" s="5" t="n">
        <v>8</v>
      </c>
      <c r="B16" s="5" t="s">
        <v>36</v>
      </c>
      <c r="C16" s="5" t="n">
        <v>30</v>
      </c>
      <c r="D16" s="5" t="n">
        <v>60</v>
      </c>
      <c r="E16" s="5" t="n">
        <v>10</v>
      </c>
      <c r="F16" s="5" t="n">
        <v>7</v>
      </c>
      <c r="G16" s="5" t="n">
        <v>4</v>
      </c>
      <c r="H16" s="5" t="n">
        <v>9</v>
      </c>
      <c r="I16" s="5" t="n">
        <v>20</v>
      </c>
    </row>
    <row r="17" customFormat="false" ht="15" hidden="false" customHeight="false" outlineLevel="0" collapsed="false">
      <c r="A17" s="5" t="n">
        <v>8</v>
      </c>
      <c r="B17" s="5" t="s">
        <v>24</v>
      </c>
      <c r="C17" s="5" t="n">
        <v>30</v>
      </c>
      <c r="D17" s="5" t="n">
        <v>60</v>
      </c>
      <c r="E17" s="5" t="n">
        <v>10</v>
      </c>
      <c r="F17" s="5" t="n">
        <v>7</v>
      </c>
      <c r="G17" s="5" t="n">
        <v>4</v>
      </c>
      <c r="H17" s="5" t="n">
        <v>9</v>
      </c>
      <c r="I17" s="5" t="n">
        <v>20</v>
      </c>
    </row>
    <row r="18" customFormat="false" ht="15" hidden="false" customHeight="false" outlineLevel="0" collapsed="false">
      <c r="A18" s="5" t="n">
        <v>9</v>
      </c>
      <c r="B18" s="5" t="s">
        <v>38</v>
      </c>
      <c r="C18" s="5" t="n">
        <v>10</v>
      </c>
      <c r="D18" s="5" t="n">
        <v>20</v>
      </c>
      <c r="E18" s="5" t="n">
        <v>20</v>
      </c>
      <c r="F18" s="5" t="n">
        <v>9</v>
      </c>
      <c r="G18" s="5" t="n">
        <v>8</v>
      </c>
      <c r="H18" s="5" t="n">
        <v>8</v>
      </c>
      <c r="I18" s="5" t="n">
        <v>10</v>
      </c>
    </row>
    <row r="19" customFormat="false" ht="15" hidden="false" customHeight="false" outlineLevel="0" collapsed="false">
      <c r="A19" s="5" t="n">
        <v>9</v>
      </c>
      <c r="B19" s="5" t="s">
        <v>39</v>
      </c>
      <c r="C19" s="5" t="n">
        <v>10</v>
      </c>
      <c r="D19" s="5" t="n">
        <v>20</v>
      </c>
      <c r="E19" s="5" t="n">
        <v>20</v>
      </c>
      <c r="F19" s="5" t="n">
        <v>9</v>
      </c>
      <c r="G19" s="5" t="n">
        <v>8</v>
      </c>
      <c r="H19" s="5" t="n">
        <v>8</v>
      </c>
      <c r="I19" s="5" t="n">
        <v>10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671875" defaultRowHeight="15" customHeight="true" zeroHeight="false" outlineLevelRow="0" outlineLevelCol="0"/>
  <cols>
    <col collapsed="false" customWidth="true" hidden="false" outlineLevel="0" max="9" min="1" style="1" width="16.51"/>
    <col collapsed="false" customWidth="true" hidden="false" outlineLevel="0" max="26" min="10" style="1" width="7.75"/>
  </cols>
  <sheetData>
    <row r="1" customFormat="false" ht="1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41</v>
      </c>
      <c r="G1" s="3" t="s">
        <v>42</v>
      </c>
      <c r="H1" s="3" t="s">
        <v>43</v>
      </c>
      <c r="I1" s="4" t="s">
        <v>5</v>
      </c>
    </row>
    <row r="2" customFormat="false" ht="15" hidden="false" customHeight="false" outlineLevel="0" collapsed="false">
      <c r="A2" s="5" t="n">
        <v>1</v>
      </c>
      <c r="B2" s="5" t="s">
        <v>15</v>
      </c>
      <c r="C2" s="5" t="n">
        <v>80</v>
      </c>
      <c r="D2" s="5" t="n">
        <v>80</v>
      </c>
      <c r="E2" s="5" t="n">
        <v>60</v>
      </c>
      <c r="F2" s="5" t="n">
        <v>1</v>
      </c>
      <c r="G2" s="5" t="n">
        <v>1</v>
      </c>
      <c r="H2" s="5" t="n">
        <v>3</v>
      </c>
      <c r="I2" s="5" t="n">
        <v>80</v>
      </c>
    </row>
    <row r="3" customFormat="false" ht="15" hidden="false" customHeight="false" outlineLevel="0" collapsed="false">
      <c r="A3" s="5" t="n">
        <v>1</v>
      </c>
      <c r="B3" s="5" t="s">
        <v>7</v>
      </c>
      <c r="C3" s="5" t="n">
        <v>80</v>
      </c>
      <c r="D3" s="5" t="n">
        <v>80</v>
      </c>
      <c r="E3" s="5" t="n">
        <v>60</v>
      </c>
      <c r="F3" s="5" t="n">
        <v>1</v>
      </c>
      <c r="G3" s="5" t="n">
        <v>1</v>
      </c>
      <c r="H3" s="5" t="n">
        <v>3</v>
      </c>
      <c r="I3" s="5" t="n">
        <v>80</v>
      </c>
    </row>
    <row r="4" customFormat="false" ht="15" hidden="false" customHeight="false" outlineLevel="0" collapsed="false">
      <c r="A4" s="5" t="n">
        <v>2</v>
      </c>
      <c r="B4" s="5" t="s">
        <v>30</v>
      </c>
      <c r="C4" s="5" t="n">
        <v>70</v>
      </c>
      <c r="D4" s="5" t="n">
        <v>60</v>
      </c>
      <c r="E4" s="5" t="n">
        <v>50</v>
      </c>
      <c r="F4" s="5" t="n">
        <v>2</v>
      </c>
      <c r="G4" s="5" t="n">
        <v>3</v>
      </c>
      <c r="H4" s="5" t="n">
        <v>4</v>
      </c>
      <c r="I4" s="5" t="n">
        <v>70</v>
      </c>
    </row>
    <row r="5" customFormat="false" ht="15" hidden="false" customHeight="false" outlineLevel="0" collapsed="false">
      <c r="A5" s="5" t="n">
        <v>2</v>
      </c>
      <c r="B5" s="5" t="s">
        <v>6</v>
      </c>
      <c r="C5" s="5" t="n">
        <v>70</v>
      </c>
      <c r="D5" s="5" t="n">
        <v>60</v>
      </c>
      <c r="E5" s="5" t="n">
        <v>50</v>
      </c>
      <c r="F5" s="5" t="n">
        <v>2</v>
      </c>
      <c r="G5" s="5" t="n">
        <v>3</v>
      </c>
      <c r="H5" s="5" t="n">
        <v>4</v>
      </c>
      <c r="I5" s="5" t="n">
        <v>70</v>
      </c>
    </row>
    <row r="6" customFormat="false" ht="15" hidden="false" customHeight="false" outlineLevel="0" collapsed="false">
      <c r="A6" s="5" t="n">
        <v>3</v>
      </c>
      <c r="B6" s="5" t="s">
        <v>20</v>
      </c>
      <c r="C6" s="5" t="n">
        <v>30</v>
      </c>
      <c r="D6" s="5" t="n">
        <v>70</v>
      </c>
      <c r="E6" s="5" t="n">
        <v>70</v>
      </c>
      <c r="F6" s="5" t="n">
        <v>6</v>
      </c>
      <c r="G6" s="5" t="n">
        <v>2</v>
      </c>
      <c r="H6" s="5" t="n">
        <v>2</v>
      </c>
      <c r="I6" s="5" t="n">
        <v>60</v>
      </c>
    </row>
    <row r="7" customFormat="false" ht="15" hidden="false" customHeight="false" outlineLevel="0" collapsed="false">
      <c r="A7" s="5" t="n">
        <v>3</v>
      </c>
      <c r="B7" s="5" t="s">
        <v>11</v>
      </c>
      <c r="C7" s="5" t="n">
        <v>30</v>
      </c>
      <c r="D7" s="5" t="n">
        <v>70</v>
      </c>
      <c r="E7" s="5" t="n">
        <v>70</v>
      </c>
      <c r="F7" s="5" t="n">
        <v>6</v>
      </c>
      <c r="G7" s="5" t="n">
        <v>2</v>
      </c>
      <c r="H7" s="5" t="n">
        <v>2</v>
      </c>
      <c r="I7" s="5" t="n">
        <v>60</v>
      </c>
    </row>
    <row r="8" customFormat="false" ht="15" hidden="false" customHeight="false" outlineLevel="0" collapsed="false">
      <c r="A8" s="5" t="n">
        <v>4</v>
      </c>
      <c r="B8" s="5" t="s">
        <v>16</v>
      </c>
      <c r="C8" s="5" t="n">
        <v>20</v>
      </c>
      <c r="D8" s="5" t="n">
        <v>40</v>
      </c>
      <c r="E8" s="5" t="n">
        <v>80</v>
      </c>
      <c r="F8" s="5" t="n">
        <v>7</v>
      </c>
      <c r="G8" s="5" t="n">
        <v>5</v>
      </c>
      <c r="H8" s="5" t="n">
        <v>1</v>
      </c>
      <c r="I8" s="5" t="n">
        <v>50</v>
      </c>
    </row>
    <row r="9" customFormat="false" ht="15" hidden="false" customHeight="false" outlineLevel="0" collapsed="false">
      <c r="A9" s="5" t="n">
        <v>4</v>
      </c>
      <c r="B9" s="5" t="s">
        <v>10</v>
      </c>
      <c r="C9" s="5" t="n">
        <v>20</v>
      </c>
      <c r="D9" s="5" t="n">
        <v>40</v>
      </c>
      <c r="E9" s="5" t="n">
        <v>80</v>
      </c>
      <c r="F9" s="5" t="n">
        <v>7</v>
      </c>
      <c r="G9" s="5" t="n">
        <v>5</v>
      </c>
      <c r="H9" s="5" t="n">
        <v>1</v>
      </c>
      <c r="I9" s="5" t="n">
        <v>50</v>
      </c>
    </row>
    <row r="10" customFormat="false" ht="15" hidden="false" customHeight="false" outlineLevel="0" collapsed="false">
      <c r="A10" s="5" t="n">
        <v>5</v>
      </c>
      <c r="B10" s="5" t="s">
        <v>18</v>
      </c>
      <c r="C10" s="5" t="n">
        <v>60</v>
      </c>
      <c r="D10" s="5" t="n">
        <v>20</v>
      </c>
      <c r="E10" s="5" t="n">
        <v>30</v>
      </c>
      <c r="F10" s="5" t="n">
        <v>3</v>
      </c>
      <c r="G10" s="5" t="n">
        <v>7</v>
      </c>
      <c r="H10" s="5" t="n">
        <v>6</v>
      </c>
      <c r="I10" s="5" t="n">
        <v>40</v>
      </c>
    </row>
    <row r="11" customFormat="false" ht="15" hidden="false" customHeight="false" outlineLevel="0" collapsed="false">
      <c r="A11" s="5" t="n">
        <v>5</v>
      </c>
      <c r="B11" s="5" t="s">
        <v>25</v>
      </c>
      <c r="C11" s="5" t="n">
        <v>60</v>
      </c>
      <c r="D11" s="5" t="n">
        <v>20</v>
      </c>
      <c r="E11" s="5" t="n">
        <v>30</v>
      </c>
      <c r="F11" s="5" t="n">
        <v>3</v>
      </c>
      <c r="G11" s="5" t="n">
        <v>7</v>
      </c>
      <c r="H11" s="5" t="n">
        <v>6</v>
      </c>
      <c r="I11" s="5" t="n">
        <v>40</v>
      </c>
    </row>
    <row r="12" customFormat="false" ht="15" hidden="false" customHeight="false" outlineLevel="0" collapsed="false">
      <c r="A12" s="5" t="n">
        <v>6</v>
      </c>
      <c r="B12" s="5" t="s">
        <v>8</v>
      </c>
      <c r="C12" s="5" t="n">
        <v>50</v>
      </c>
      <c r="D12" s="5" t="n">
        <v>30</v>
      </c>
      <c r="E12" s="5" t="n">
        <v>20</v>
      </c>
      <c r="F12" s="5" t="n">
        <v>4</v>
      </c>
      <c r="G12" s="5" t="n">
        <v>6</v>
      </c>
      <c r="H12" s="5" t="n">
        <v>7</v>
      </c>
      <c r="I12" s="5" t="n">
        <v>30</v>
      </c>
    </row>
    <row r="13" customFormat="false" ht="15" hidden="false" customHeight="false" outlineLevel="0" collapsed="false">
      <c r="A13" s="5" t="n">
        <v>6</v>
      </c>
      <c r="B13" s="5" t="s">
        <v>21</v>
      </c>
      <c r="C13" s="5" t="n">
        <v>50</v>
      </c>
      <c r="D13" s="5" t="n">
        <v>30</v>
      </c>
      <c r="E13" s="5" t="n">
        <v>20</v>
      </c>
      <c r="F13" s="5" t="n">
        <v>4</v>
      </c>
      <c r="G13" s="5" t="n">
        <v>6</v>
      </c>
      <c r="H13" s="5" t="n">
        <v>7</v>
      </c>
      <c r="I13" s="5" t="n">
        <v>30</v>
      </c>
    </row>
    <row r="14" customFormat="false" ht="15" hidden="false" customHeight="false" outlineLevel="0" collapsed="false">
      <c r="A14" s="5" t="n">
        <v>7</v>
      </c>
      <c r="B14" s="5" t="s">
        <v>28</v>
      </c>
      <c r="C14" s="5" t="n">
        <v>40</v>
      </c>
      <c r="D14" s="5" t="n">
        <v>50</v>
      </c>
      <c r="E14" s="5" t="n">
        <v>10</v>
      </c>
      <c r="F14" s="5" t="n">
        <v>5</v>
      </c>
      <c r="G14" s="5" t="n">
        <v>4</v>
      </c>
      <c r="H14" s="5" t="n">
        <v>8</v>
      </c>
      <c r="I14" s="5" t="n">
        <v>20</v>
      </c>
    </row>
    <row r="15" customFormat="false" ht="15" hidden="false" customHeight="false" outlineLevel="0" collapsed="false">
      <c r="A15" s="5" t="n">
        <v>7</v>
      </c>
      <c r="B15" s="5" t="s">
        <v>37</v>
      </c>
      <c r="C15" s="5" t="n">
        <v>40</v>
      </c>
      <c r="D15" s="5" t="n">
        <v>50</v>
      </c>
      <c r="E15" s="5" t="n">
        <v>10</v>
      </c>
      <c r="F15" s="5" t="n">
        <v>5</v>
      </c>
      <c r="G15" s="5" t="n">
        <v>4</v>
      </c>
      <c r="H15" s="5" t="n">
        <v>8</v>
      </c>
      <c r="I15" s="5" t="n">
        <v>20</v>
      </c>
    </row>
    <row r="16" customFormat="false" ht="15" hidden="false" customHeight="false" outlineLevel="0" collapsed="false">
      <c r="A16" s="5" t="n">
        <v>8</v>
      </c>
      <c r="B16" s="5" t="s">
        <v>9</v>
      </c>
      <c r="C16" s="5" t="n">
        <v>10</v>
      </c>
      <c r="D16" s="5" t="n">
        <v>10</v>
      </c>
      <c r="E16" s="5" t="n">
        <v>40</v>
      </c>
      <c r="F16" s="5" t="n">
        <v>8</v>
      </c>
      <c r="G16" s="5" t="n">
        <v>8</v>
      </c>
      <c r="H16" s="5" t="n">
        <v>5</v>
      </c>
      <c r="I16" s="5" t="n">
        <v>10</v>
      </c>
    </row>
    <row r="17" customFormat="false" ht="15" hidden="false" customHeight="false" outlineLevel="0" collapsed="false">
      <c r="A17" s="5" t="n">
        <v>8</v>
      </c>
      <c r="B17" s="5" t="s">
        <v>22</v>
      </c>
      <c r="C17" s="5" t="n">
        <v>10</v>
      </c>
      <c r="D17" s="5" t="n">
        <v>10</v>
      </c>
      <c r="E17" s="5" t="n">
        <v>40</v>
      </c>
      <c r="F17" s="5" t="n">
        <v>8</v>
      </c>
      <c r="G17" s="5" t="n">
        <v>8</v>
      </c>
      <c r="H17" s="5" t="n">
        <v>5</v>
      </c>
      <c r="I17" s="5" t="n">
        <v>10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13.4765625" defaultRowHeight="12.8" customHeight="true" zeroHeight="false" outlineLevelRow="0" outlineLevelCol="0"/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41</v>
      </c>
      <c r="G1" s="3" t="s">
        <v>42</v>
      </c>
      <c r="H1" s="3" t="s">
        <v>43</v>
      </c>
      <c r="I1" s="4" t="s">
        <v>5</v>
      </c>
    </row>
    <row r="2" customFormat="false" ht="13.8" hidden="false" customHeight="false" outlineLevel="0" collapsed="false">
      <c r="A2" s="5" t="n">
        <v>1</v>
      </c>
      <c r="B2" s="5" t="s">
        <v>13</v>
      </c>
      <c r="C2" s="5" t="n">
        <v>60</v>
      </c>
      <c r="D2" s="5" t="n">
        <v>90</v>
      </c>
      <c r="E2" s="5" t="n">
        <v>80</v>
      </c>
      <c r="F2" s="5" t="n">
        <v>4</v>
      </c>
      <c r="G2" s="5" t="n">
        <v>1</v>
      </c>
      <c r="H2" s="5" t="n">
        <v>2</v>
      </c>
      <c r="I2" s="5" t="n">
        <v>90</v>
      </c>
    </row>
    <row r="3" customFormat="false" ht="13.8" hidden="false" customHeight="false" outlineLevel="0" collapsed="false">
      <c r="A3" s="5" t="n">
        <v>1</v>
      </c>
      <c r="B3" s="5" t="s">
        <v>14</v>
      </c>
      <c r="C3" s="5" t="n">
        <v>60</v>
      </c>
      <c r="D3" s="5" t="n">
        <v>90</v>
      </c>
      <c r="E3" s="5" t="n">
        <v>80</v>
      </c>
      <c r="F3" s="5" t="n">
        <v>4</v>
      </c>
      <c r="G3" s="5" t="n">
        <v>1</v>
      </c>
      <c r="H3" s="5" t="n">
        <v>2</v>
      </c>
      <c r="I3" s="5" t="n">
        <v>90</v>
      </c>
    </row>
    <row r="4" customFormat="false" ht="13.8" hidden="false" customHeight="false" outlineLevel="0" collapsed="false">
      <c r="A4" s="5" t="n">
        <v>2</v>
      </c>
      <c r="B4" s="5" t="s">
        <v>15</v>
      </c>
      <c r="C4" s="5" t="n">
        <v>80</v>
      </c>
      <c r="D4" s="5" t="n">
        <v>60</v>
      </c>
      <c r="E4" s="5" t="n">
        <v>50</v>
      </c>
      <c r="F4" s="5" t="n">
        <v>2</v>
      </c>
      <c r="G4" s="5" t="n">
        <v>4</v>
      </c>
      <c r="H4" s="5" t="n">
        <v>5</v>
      </c>
      <c r="I4" s="5" t="n">
        <v>80</v>
      </c>
    </row>
    <row r="5" customFormat="false" ht="13.8" hidden="false" customHeight="false" outlineLevel="0" collapsed="false">
      <c r="A5" s="5" t="n">
        <v>2</v>
      </c>
      <c r="B5" s="5" t="s">
        <v>6</v>
      </c>
      <c r="C5" s="5" t="n">
        <v>80</v>
      </c>
      <c r="D5" s="5" t="n">
        <v>60</v>
      </c>
      <c r="E5" s="5" t="n">
        <v>50</v>
      </c>
      <c r="F5" s="5" t="n">
        <v>2</v>
      </c>
      <c r="G5" s="5" t="n">
        <v>4</v>
      </c>
      <c r="H5" s="5" t="n">
        <v>5</v>
      </c>
      <c r="I5" s="5" t="n">
        <v>80</v>
      </c>
    </row>
    <row r="6" customFormat="false" ht="13.8" hidden="false" customHeight="false" outlineLevel="0" collapsed="false">
      <c r="A6" s="5" t="n">
        <v>3</v>
      </c>
      <c r="B6" s="5" t="s">
        <v>12</v>
      </c>
      <c r="C6" s="5" t="n">
        <v>90</v>
      </c>
      <c r="D6" s="5" t="n">
        <v>80</v>
      </c>
      <c r="E6" s="5" t="n">
        <v>10</v>
      </c>
      <c r="F6" s="5" t="n">
        <v>1</v>
      </c>
      <c r="G6" s="5" t="n">
        <v>2</v>
      </c>
      <c r="H6" s="5" t="n">
        <v>9</v>
      </c>
      <c r="I6" s="5" t="n">
        <v>70</v>
      </c>
    </row>
    <row r="7" customFormat="false" ht="13.8" hidden="false" customHeight="false" outlineLevel="0" collapsed="false">
      <c r="A7" s="5" t="n">
        <v>3</v>
      </c>
      <c r="B7" s="5" t="s">
        <v>27</v>
      </c>
      <c r="C7" s="5" t="n">
        <v>90</v>
      </c>
      <c r="D7" s="5" t="n">
        <v>80</v>
      </c>
      <c r="E7" s="5" t="n">
        <v>10</v>
      </c>
      <c r="F7" s="5" t="n">
        <v>1</v>
      </c>
      <c r="G7" s="5" t="n">
        <v>2</v>
      </c>
      <c r="H7" s="5" t="n">
        <v>9</v>
      </c>
      <c r="I7" s="5" t="n">
        <v>70</v>
      </c>
    </row>
    <row r="8" customFormat="false" ht="13.8" hidden="false" customHeight="false" outlineLevel="0" collapsed="false">
      <c r="A8" s="5" t="n">
        <v>3</v>
      </c>
      <c r="B8" s="5" t="s">
        <v>8</v>
      </c>
      <c r="C8" s="5" t="n">
        <v>50</v>
      </c>
      <c r="D8" s="5" t="n">
        <v>40</v>
      </c>
      <c r="E8" s="5" t="n">
        <v>90</v>
      </c>
      <c r="F8" s="5" t="n">
        <v>5</v>
      </c>
      <c r="G8" s="5" t="n">
        <v>6</v>
      </c>
      <c r="H8" s="5" t="n">
        <v>1</v>
      </c>
      <c r="I8" s="5" t="n">
        <v>70</v>
      </c>
    </row>
    <row r="9" customFormat="false" ht="13.8" hidden="false" customHeight="false" outlineLevel="0" collapsed="false">
      <c r="A9" s="5" t="n">
        <v>3</v>
      </c>
      <c r="B9" s="5" t="s">
        <v>17</v>
      </c>
      <c r="C9" s="5" t="n">
        <v>50</v>
      </c>
      <c r="D9" s="5" t="n">
        <v>40</v>
      </c>
      <c r="E9" s="5" t="n">
        <v>90</v>
      </c>
      <c r="F9" s="5" t="n">
        <v>5</v>
      </c>
      <c r="G9" s="5" t="n">
        <v>6</v>
      </c>
      <c r="H9" s="5" t="n">
        <v>1</v>
      </c>
      <c r="I9" s="5" t="n">
        <v>70</v>
      </c>
    </row>
    <row r="10" customFormat="false" ht="13.8" hidden="false" customHeight="false" outlineLevel="0" collapsed="false">
      <c r="A10" s="5" t="n">
        <v>5</v>
      </c>
      <c r="B10" s="5" t="s">
        <v>34</v>
      </c>
      <c r="C10" s="5" t="n">
        <v>20</v>
      </c>
      <c r="D10" s="5" t="n">
        <v>70</v>
      </c>
      <c r="E10" s="5" t="n">
        <v>60</v>
      </c>
      <c r="F10" s="5" t="n">
        <v>8</v>
      </c>
      <c r="G10" s="5" t="n">
        <v>3</v>
      </c>
      <c r="H10" s="5" t="n">
        <v>4</v>
      </c>
      <c r="I10" s="5" t="n">
        <v>50</v>
      </c>
    </row>
    <row r="11" customFormat="false" ht="13.8" hidden="false" customHeight="false" outlineLevel="0" collapsed="false">
      <c r="A11" s="5" t="n">
        <v>5</v>
      </c>
      <c r="B11" s="5" t="s">
        <v>16</v>
      </c>
      <c r="C11" s="5" t="n">
        <v>20</v>
      </c>
      <c r="D11" s="5" t="n">
        <v>70</v>
      </c>
      <c r="E11" s="5" t="n">
        <v>60</v>
      </c>
      <c r="F11" s="5" t="n">
        <v>8</v>
      </c>
      <c r="G11" s="5" t="n">
        <v>3</v>
      </c>
      <c r="H11" s="5" t="n">
        <v>4</v>
      </c>
      <c r="I11" s="5" t="n">
        <v>50</v>
      </c>
    </row>
    <row r="12" customFormat="false" ht="13.8" hidden="false" customHeight="false" outlineLevel="0" collapsed="false">
      <c r="A12" s="5" t="n">
        <v>6</v>
      </c>
      <c r="B12" s="5" t="s">
        <v>35</v>
      </c>
      <c r="C12" s="5" t="n">
        <v>70</v>
      </c>
      <c r="D12" s="5" t="n">
        <v>20</v>
      </c>
      <c r="E12" s="5" t="n">
        <v>40</v>
      </c>
      <c r="F12" s="5" t="n">
        <v>3</v>
      </c>
      <c r="G12" s="5" t="n">
        <v>8</v>
      </c>
      <c r="H12" s="5" t="n">
        <v>6</v>
      </c>
      <c r="I12" s="5" t="n">
        <v>40</v>
      </c>
    </row>
    <row r="13" customFormat="false" ht="13.8" hidden="false" customHeight="false" outlineLevel="0" collapsed="false">
      <c r="A13" s="5" t="n">
        <v>6</v>
      </c>
      <c r="B13" s="5" t="s">
        <v>25</v>
      </c>
      <c r="C13" s="5" t="n">
        <v>70</v>
      </c>
      <c r="D13" s="5" t="n">
        <v>20</v>
      </c>
      <c r="E13" s="5" t="n">
        <v>40</v>
      </c>
      <c r="F13" s="5" t="n">
        <v>3</v>
      </c>
      <c r="G13" s="5" t="n">
        <v>8</v>
      </c>
      <c r="H13" s="5" t="n">
        <v>6</v>
      </c>
      <c r="I13" s="5" t="n">
        <v>40</v>
      </c>
    </row>
    <row r="14" customFormat="false" ht="13.8" hidden="false" customHeight="false" outlineLevel="0" collapsed="false">
      <c r="A14" s="5" t="n">
        <v>7</v>
      </c>
      <c r="B14" s="5" t="s">
        <v>9</v>
      </c>
      <c r="C14" s="5" t="n">
        <v>40</v>
      </c>
      <c r="D14" s="5" t="n">
        <v>10</v>
      </c>
      <c r="E14" s="5" t="n">
        <v>70</v>
      </c>
      <c r="F14" s="5" t="n">
        <v>6</v>
      </c>
      <c r="G14" s="5" t="n">
        <v>9</v>
      </c>
      <c r="H14" s="5" t="n">
        <v>3</v>
      </c>
      <c r="I14" s="5" t="n">
        <v>30</v>
      </c>
    </row>
    <row r="15" customFormat="false" ht="13.8" hidden="false" customHeight="false" outlineLevel="0" collapsed="false">
      <c r="A15" s="5" t="n">
        <v>7</v>
      </c>
      <c r="B15" s="5" t="s">
        <v>19</v>
      </c>
      <c r="C15" s="5" t="n">
        <v>40</v>
      </c>
      <c r="D15" s="5" t="n">
        <v>10</v>
      </c>
      <c r="E15" s="5" t="n">
        <v>70</v>
      </c>
      <c r="F15" s="5" t="n">
        <v>6</v>
      </c>
      <c r="G15" s="5" t="n">
        <v>9</v>
      </c>
      <c r="H15" s="5" t="n">
        <v>3</v>
      </c>
      <c r="I15" s="5" t="n">
        <v>30</v>
      </c>
    </row>
    <row r="16" customFormat="false" ht="13.8" hidden="false" customHeight="false" outlineLevel="0" collapsed="false">
      <c r="A16" s="5" t="n">
        <v>8</v>
      </c>
      <c r="B16" s="5" t="s">
        <v>7</v>
      </c>
      <c r="C16" s="5" t="n">
        <v>30</v>
      </c>
      <c r="D16" s="5" t="n">
        <v>50</v>
      </c>
      <c r="E16" s="5" t="n">
        <v>30</v>
      </c>
      <c r="F16" s="5" t="n">
        <v>7</v>
      </c>
      <c r="G16" s="5" t="n">
        <v>5</v>
      </c>
      <c r="H16" s="5" t="n">
        <v>7</v>
      </c>
      <c r="I16" s="5" t="n">
        <v>20</v>
      </c>
    </row>
    <row r="17" customFormat="false" ht="13.8" hidden="false" customHeight="false" outlineLevel="0" collapsed="false">
      <c r="A17" s="5" t="n">
        <v>8</v>
      </c>
      <c r="B17" s="5" t="s">
        <v>22</v>
      </c>
      <c r="C17" s="5" t="n">
        <v>30</v>
      </c>
      <c r="D17" s="5" t="n">
        <v>50</v>
      </c>
      <c r="E17" s="5" t="n">
        <v>30</v>
      </c>
      <c r="F17" s="5" t="n">
        <v>7</v>
      </c>
      <c r="G17" s="5" t="n">
        <v>5</v>
      </c>
      <c r="H17" s="5" t="n">
        <v>7</v>
      </c>
      <c r="I17" s="5" t="n">
        <v>20</v>
      </c>
    </row>
    <row r="18" customFormat="false" ht="13.8" hidden="false" customHeight="false" outlineLevel="0" collapsed="false">
      <c r="A18" s="1" t="n">
        <v>9</v>
      </c>
      <c r="B18" s="0" t="s">
        <v>38</v>
      </c>
      <c r="C18" s="0" t="n">
        <v>10</v>
      </c>
      <c r="D18" s="0" t="n">
        <v>30</v>
      </c>
      <c r="E18" s="0" t="n">
        <v>20</v>
      </c>
      <c r="F18" s="0" t="n">
        <v>9</v>
      </c>
      <c r="G18" s="0" t="n">
        <v>7</v>
      </c>
      <c r="H18" s="0" t="n">
        <v>8</v>
      </c>
      <c r="I18" s="5" t="n">
        <v>10</v>
      </c>
    </row>
    <row r="19" customFormat="false" ht="13.8" hidden="false" customHeight="false" outlineLevel="0" collapsed="false">
      <c r="A19" s="1" t="n">
        <v>9</v>
      </c>
      <c r="B19" s="0" t="s">
        <v>24</v>
      </c>
      <c r="C19" s="0" t="n">
        <v>10</v>
      </c>
      <c r="D19" s="0" t="n">
        <v>30</v>
      </c>
      <c r="E19" s="0" t="n">
        <v>20</v>
      </c>
      <c r="F19" s="0" t="n">
        <v>9</v>
      </c>
      <c r="G19" s="0" t="n">
        <v>7</v>
      </c>
      <c r="H19" s="0" t="n">
        <v>8</v>
      </c>
      <c r="I19" s="5" t="n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Roman,Standard"&amp;12&amp;Kffffff&amp;A</oddHeader>
    <oddFooter>&amp;C&amp;"Times New Roman,Standard"&amp;12&amp;KffffffSeite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671875" defaultRowHeight="15" customHeight="true" zeroHeight="false" outlineLevelRow="0" outlineLevelCol="0"/>
  <cols>
    <col collapsed="false" customWidth="true" hidden="false" outlineLevel="0" max="26" min="1" style="1" width="9.38"/>
  </cols>
  <sheetData>
    <row r="2" customFormat="false" ht="15" hidden="false" customHeight="false" outlineLevel="0" collapsed="false">
      <c r="B2" s="6"/>
      <c r="C2" s="6"/>
      <c r="D2" s="6" t="s">
        <v>44</v>
      </c>
      <c r="E2" s="6"/>
      <c r="F2" s="6"/>
      <c r="G2" s="6" t="n">
        <v>4</v>
      </c>
      <c r="H2" s="6" t="n">
        <v>5</v>
      </c>
      <c r="I2" s="6" t="n">
        <v>5</v>
      </c>
      <c r="J2" s="6" t="n">
        <v>5</v>
      </c>
      <c r="K2" s="6" t="n">
        <v>8</v>
      </c>
      <c r="L2" s="6" t="n">
        <v>9</v>
      </c>
      <c r="M2" s="6" t="n">
        <v>8</v>
      </c>
      <c r="N2" s="6" t="n">
        <v>9</v>
      </c>
    </row>
    <row r="3" customFormat="false" ht="15" hidden="false" customHeight="false" outlineLevel="0" collapsed="false">
      <c r="B3" s="6" t="s">
        <v>45</v>
      </c>
      <c r="C3" s="6" t="s">
        <v>46</v>
      </c>
      <c r="D3" s="6" t="s">
        <v>1</v>
      </c>
      <c r="E3" s="6" t="s">
        <v>47</v>
      </c>
      <c r="F3" s="6" t="s">
        <v>48</v>
      </c>
      <c r="G3" s="6" t="s">
        <v>49</v>
      </c>
      <c r="H3" s="6" t="s">
        <v>50</v>
      </c>
      <c r="I3" s="6" t="s">
        <v>51</v>
      </c>
      <c r="J3" s="6" t="s">
        <v>52</v>
      </c>
      <c r="K3" s="6" t="s">
        <v>53</v>
      </c>
      <c r="L3" s="6" t="s">
        <v>54</v>
      </c>
      <c r="M3" s="6" t="s">
        <v>55</v>
      </c>
      <c r="N3" s="6" t="s">
        <v>56</v>
      </c>
    </row>
    <row r="4" customFormat="false" ht="15" hidden="false" customHeight="false" outlineLevel="0" collapsed="false">
      <c r="B4" s="6" t="n">
        <v>1</v>
      </c>
      <c r="C4" s="6" t="n">
        <f aca="false">IF(ISNUMBER(Durchschnitt!$F4)=TRUE(),_xlfn.RANK.EQ(Durchschnitt!$F4,Durchschnitt!$F$4:$F$36,0),"")</f>
        <v>2</v>
      </c>
      <c r="D4" s="6" t="s">
        <v>7</v>
      </c>
      <c r="E4" s="6" t="n">
        <f aca="false">COUNT(G4:M4)</f>
        <v>7</v>
      </c>
      <c r="F4" s="6" t="n">
        <f aca="false">IF(Durchschnitt!$E4&gt;=3,AVERAGE(G4:M4),"")</f>
        <v>0.752551020408163</v>
      </c>
      <c r="G4" s="5" t="n">
        <f aca="false">IF('Platzierungen alle Olympiaden'!$E4=0,"",(G$2-'Platzierungen alle Olympiaden'!$E4)/(G$2-1))</f>
        <v>1</v>
      </c>
      <c r="H4" s="5" t="n">
        <f aca="false">IF('Platzierungen alle Olympiaden'!$F4=0,"",(H$2-'Platzierungen alle Olympiaden'!$F4)/(H$2-1))</f>
        <v>0.75</v>
      </c>
      <c r="I4" s="5" t="n">
        <f aca="false">IF('Platzierungen alle Olympiaden'!$G4=0,"",(I$2-'Platzierungen alle Olympiaden'!$G4)/(I$2-1))</f>
        <v>1</v>
      </c>
      <c r="J4" s="5" t="n">
        <f aca="false">IF('Platzierungen alle Olympiaden'!$H4=0,"",(J$2-'Platzierungen alle Olympiaden'!$H4)/(J$2-1))</f>
        <v>1</v>
      </c>
      <c r="K4" s="5" t="n">
        <f aca="false">IF('Platzierungen alle Olympiaden'!$I4=0,"",(K$2-'Platzierungen alle Olympiaden'!$I4)/(K$2-1))</f>
        <v>0.142857142857143</v>
      </c>
      <c r="L4" s="5" t="n">
        <f aca="false">IF('Platzierungen alle Olympiaden'!$J4=0,"",(L$2-'Platzierungen alle Olympiaden'!$J4)/(L$2-1))</f>
        <v>0.375</v>
      </c>
      <c r="M4" s="5" t="n">
        <f aca="false">IF('Platzierungen alle Olympiaden'!$K4=0,"",(M$2-'Platzierungen alle Olympiaden'!$K4)/(M$2-1))</f>
        <v>1</v>
      </c>
      <c r="N4" s="5"/>
    </row>
    <row r="5" customFormat="false" ht="15" hidden="false" customHeight="false" outlineLevel="0" collapsed="false">
      <c r="B5" s="6" t="n">
        <v>2</v>
      </c>
      <c r="C5" s="6" t="n">
        <f aca="false">IF(ISNUMBER(Durchschnitt!$F5)=TRUE(),_xlfn.RANK.EQ(Durchschnitt!$F5,Durchschnitt!$F$4:$F$36,0),"")</f>
        <v>6</v>
      </c>
      <c r="D5" s="6" t="s">
        <v>6</v>
      </c>
      <c r="E5" s="6" t="n">
        <f aca="false">COUNT(G5:M5)</f>
        <v>7</v>
      </c>
      <c r="F5" s="6" t="n">
        <f aca="false">IF(Durchschnitt!$E5&gt;=3,AVERAGE(G5:M5),"")</f>
        <v>0.59608843537415</v>
      </c>
      <c r="G5" s="5" t="n">
        <f aca="false">IF('Platzierungen alle Olympiaden'!$E5=0,"",(G$2-'Platzierungen alle Olympiaden'!$E5)/(G$2-1))</f>
        <v>0.333333333333333</v>
      </c>
      <c r="H5" s="5" t="n">
        <f aca="false">IF('Platzierungen alle Olympiaden'!$F5=0,"",(H$2-'Platzierungen alle Olympiaden'!$F5)/(H$2-1))</f>
        <v>0.25</v>
      </c>
      <c r="I5" s="5" t="n">
        <f aca="false">IF('Platzierungen alle Olympiaden'!$G5=0,"",(I$2-'Platzierungen alle Olympiaden'!$G5)/(I$2-1))</f>
        <v>0.5</v>
      </c>
      <c r="J5" s="5" t="n">
        <f aca="false">IF('Platzierungen alle Olympiaden'!$H5=0,"",(J$2-'Platzierungen alle Olympiaden'!$H5)/(J$2-1))</f>
        <v>0.75</v>
      </c>
      <c r="K5" s="5" t="n">
        <f aca="false">IF('Platzierungen alle Olympiaden'!$I5=0,"",(K$2-'Platzierungen alle Olympiaden'!$I5)/(K$2-1))</f>
        <v>0.857142857142857</v>
      </c>
      <c r="L5" s="5" t="n">
        <f aca="false">IF('Platzierungen alle Olympiaden'!$J5=0,"",(L$2-'Platzierungen alle Olympiaden'!$J5)/(L$2-1))</f>
        <v>0.625</v>
      </c>
      <c r="M5" s="5" t="n">
        <f aca="false">IF('Platzierungen alle Olympiaden'!$K5=0,"",(M$2-'Platzierungen alle Olympiaden'!$K5)/(M$2-1))</f>
        <v>0.857142857142857</v>
      </c>
      <c r="N5" s="5"/>
    </row>
    <row r="6" customFormat="false" ht="15" hidden="false" customHeight="false" outlineLevel="0" collapsed="false">
      <c r="B6" s="6" t="n">
        <v>3</v>
      </c>
      <c r="C6" s="6" t="n">
        <f aca="false">IF(ISNUMBER(Durchschnitt!$F6)=TRUE(),_xlfn.RANK.EQ(Durchschnitt!$F6,Durchschnitt!$F$4:$F$36,0),"")</f>
        <v>1</v>
      </c>
      <c r="D6" s="6" t="s">
        <v>10</v>
      </c>
      <c r="E6" s="6" t="n">
        <f aca="false">COUNT(G6:M6)</f>
        <v>4</v>
      </c>
      <c r="F6" s="6" t="n">
        <f aca="false">IF(Durchschnitt!$E6&gt;=3,AVERAGE(G6:M6),"")</f>
        <v>0.857142857142857</v>
      </c>
      <c r="G6" s="5" t="str">
        <f aca="false">IF('Platzierungen alle Olympiaden'!$E6=0,"",(G$2-'Platzierungen alle Olympiaden'!$E6)/(G$2-1))</f>
        <v/>
      </c>
      <c r="H6" s="5" t="str">
        <f aca="false">IF('Platzierungen alle Olympiaden'!$F6=0,"",(H$2-'Platzierungen alle Olympiaden'!$F6)/(H$2-1))</f>
        <v/>
      </c>
      <c r="I6" s="5" t="str">
        <f aca="false">IF('Platzierungen alle Olympiaden'!$G6=0,"",(I$2-'Platzierungen alle Olympiaden'!$G6)/(I$2-1))</f>
        <v/>
      </c>
      <c r="J6" s="5" t="n">
        <f aca="false">IF('Platzierungen alle Olympiaden'!$H6=0,"",(J$2-'Platzierungen alle Olympiaden'!$H6)/(J$2-1))</f>
        <v>1</v>
      </c>
      <c r="K6" s="5" t="n">
        <f aca="false">IF('Platzierungen alle Olympiaden'!$I6=0,"",(K$2-'Platzierungen alle Olympiaden'!$I6)/(K$2-1))</f>
        <v>0.857142857142857</v>
      </c>
      <c r="L6" s="5" t="n">
        <f aca="false">IF('Platzierungen alle Olympiaden'!$J6=0,"",(L$2-'Platzierungen alle Olympiaden'!$J6)/(L$2-1))</f>
        <v>1</v>
      </c>
      <c r="M6" s="5" t="n">
        <f aca="false">IF('Platzierungen alle Olympiaden'!$K6=0,"",(M$2-'Platzierungen alle Olympiaden'!$K6)/(M$2-1))</f>
        <v>0.571428571428571</v>
      </c>
      <c r="N6" s="5"/>
    </row>
    <row r="7" customFormat="false" ht="15" hidden="false" customHeight="false" outlineLevel="0" collapsed="false">
      <c r="B7" s="6" t="n">
        <v>4</v>
      </c>
      <c r="C7" s="6" t="n">
        <f aca="false">IF(ISNUMBER(Durchschnitt!$F7)=TRUE(),_xlfn.RANK.EQ(Durchschnitt!$F7,Durchschnitt!$F$4:$F$36,0),"")</f>
        <v>3</v>
      </c>
      <c r="D7" s="6" t="s">
        <v>11</v>
      </c>
      <c r="E7" s="6" t="n">
        <f aca="false">COUNT(G7:M7)</f>
        <v>5</v>
      </c>
      <c r="F7" s="6" t="n">
        <f aca="false">IF(Durchschnitt!$E7&gt;=3,AVERAGE(G7:M7),"")</f>
        <v>0.726190476190476</v>
      </c>
      <c r="G7" s="5" t="n">
        <f aca="false">IF('Platzierungen alle Olympiaden'!$E7=0,"",(G$2-'Platzierungen alle Olympiaden'!$E7)/(G$2-1))</f>
        <v>0.666666666666667</v>
      </c>
      <c r="H7" s="5" t="n">
        <f aca="false">IF('Platzierungen alle Olympiaden'!$F7=0,"",(H$2-'Platzierungen alle Olympiaden'!$F7)/(H$2-1))</f>
        <v>1</v>
      </c>
      <c r="I7" s="5" t="n">
        <f aca="false">IF('Platzierungen alle Olympiaden'!$G7=0,"",(I$2-'Platzierungen alle Olympiaden'!$G7)/(I$2-1))</f>
        <v>0.25</v>
      </c>
      <c r="J7" s="5" t="str">
        <f aca="false">IF('Platzierungen alle Olympiaden'!$H7=0,"",(J$2-'Platzierungen alle Olympiaden'!$H7)/(J$2-1))</f>
        <v/>
      </c>
      <c r="K7" s="5" t="n">
        <f aca="false">IF('Platzierungen alle Olympiaden'!$I7=0,"",(K$2-'Platzierungen alle Olympiaden'!$I7)/(K$2-1))</f>
        <v>1</v>
      </c>
      <c r="L7" s="5" t="str">
        <f aca="false">IF('Platzierungen alle Olympiaden'!$J7=0,"",(L$2-'Platzierungen alle Olympiaden'!$J7)/(L$2-1))</f>
        <v/>
      </c>
      <c r="M7" s="5" t="n">
        <f aca="false">IF('Platzierungen alle Olympiaden'!$K7=0,"",(M$2-'Platzierungen alle Olympiaden'!$K7)/(M$2-1))</f>
        <v>0.714285714285714</v>
      </c>
      <c r="N7" s="5"/>
    </row>
    <row r="8" customFormat="false" ht="15" hidden="false" customHeight="false" outlineLevel="0" collapsed="false">
      <c r="B8" s="6" t="n">
        <v>5</v>
      </c>
      <c r="C8" s="6" t="n">
        <f aca="false">IF(ISNUMBER(Durchschnitt!$F8)=TRUE(),_xlfn.RANK.EQ(Durchschnitt!$F8,Durchschnitt!$F$4:$F$36,0),"")</f>
        <v>8</v>
      </c>
      <c r="D8" s="6" t="s">
        <v>9</v>
      </c>
      <c r="E8" s="6" t="n">
        <f aca="false">COUNT(G8:M8)</f>
        <v>6</v>
      </c>
      <c r="F8" s="6" t="n">
        <f aca="false">IF(Durchschnitt!$E8&gt;=3,AVERAGE(G8:M8),"")</f>
        <v>0.5</v>
      </c>
      <c r="G8" s="5" t="str">
        <f aca="false">IF('Platzierungen alle Olympiaden'!$E8=0,"",(G$2-'Platzierungen alle Olympiaden'!$E8)/(G$2-1))</f>
        <v/>
      </c>
      <c r="H8" s="5" t="n">
        <f aca="false">IF('Platzierungen alle Olympiaden'!$F8=0,"",(H$2-'Platzierungen alle Olympiaden'!$F8)/(H$2-1))</f>
        <v>0</v>
      </c>
      <c r="I8" s="5" t="n">
        <f aca="false">IF('Platzierungen alle Olympiaden'!$G8=0,"",(I$2-'Platzierungen alle Olympiaden'!$G8)/(I$2-1))</f>
        <v>1</v>
      </c>
      <c r="J8" s="5" t="n">
        <f aca="false">IF('Platzierungen alle Olympiaden'!$H8=0,"",(J$2-'Platzierungen alle Olympiaden'!$H8)/(J$2-1))</f>
        <v>0.25</v>
      </c>
      <c r="K8" s="5" t="n">
        <f aca="false">IF('Platzierungen alle Olympiaden'!$I8=0,"",(K$2-'Platzierungen alle Olympiaden'!$I8)/(K$2-1))</f>
        <v>1</v>
      </c>
      <c r="L8" s="5" t="n">
        <f aca="false">IF('Platzierungen alle Olympiaden'!$J8=0,"",(L$2-'Platzierungen alle Olympiaden'!$J8)/(L$2-1))</f>
        <v>0.75</v>
      </c>
      <c r="M8" s="5" t="n">
        <f aca="false">IF('Platzierungen alle Olympiaden'!$K8=0,"",(M$2-'Platzierungen alle Olympiaden'!$K8)/(M$2-1))</f>
        <v>0</v>
      </c>
      <c r="N8" s="5"/>
    </row>
    <row r="9" customFormat="false" ht="15" hidden="false" customHeight="false" outlineLevel="0" collapsed="false">
      <c r="B9" s="6" t="n">
        <v>6</v>
      </c>
      <c r="C9" s="6" t="n">
        <f aca="false">IF(ISNUMBER(Durchschnitt!$F9)=TRUE(),_xlfn.RANK.EQ(Durchschnitt!$F9,Durchschnitt!$F$4:$F$36,0),"")</f>
        <v>5</v>
      </c>
      <c r="D9" s="6" t="s">
        <v>8</v>
      </c>
      <c r="E9" s="6" t="n">
        <f aca="false">COUNT(G9:M9)</f>
        <v>5</v>
      </c>
      <c r="F9" s="6" t="n">
        <f aca="false">IF(Durchschnitt!$E9&gt;=3,AVERAGE(G9:M9),"")</f>
        <v>0.639285714285714</v>
      </c>
      <c r="G9" s="5" t="str">
        <f aca="false">IF('Platzierungen alle Olympiaden'!$E9=0,"",(G$2-'Platzierungen alle Olympiaden'!$E9)/(G$2-1))</f>
        <v/>
      </c>
      <c r="H9" s="5" t="n">
        <f aca="false">IF('Platzierungen alle Olympiaden'!$F9=0,"",(H$2-'Platzierungen alle Olympiaden'!$F9)/(H$2-1))</f>
        <v>1</v>
      </c>
      <c r="I9" s="5" t="str">
        <f aca="false">IF('Platzierungen alle Olympiaden'!$G9=0,"",(I$2-'Platzierungen alle Olympiaden'!$G9)/(I$2-1))</f>
        <v/>
      </c>
      <c r="J9" s="5" t="n">
        <f aca="false">IF('Platzierungen alle Olympiaden'!$H9=0,"",(J$2-'Platzierungen alle Olympiaden'!$H9)/(J$2-1))</f>
        <v>0.75</v>
      </c>
      <c r="K9" s="5" t="n">
        <f aca="false">IF('Platzierungen alle Olympiaden'!$I9=0,"",(K$2-'Platzierungen alle Olympiaden'!$I9)/(K$2-1))</f>
        <v>0.285714285714286</v>
      </c>
      <c r="L9" s="5" t="n">
        <f aca="false">IF('Platzierungen alle Olympiaden'!$J9=0,"",(L$2-'Platzierungen alle Olympiaden'!$J9)/(L$2-1))</f>
        <v>0.875</v>
      </c>
      <c r="M9" s="5" t="n">
        <f aca="false">IF('Platzierungen alle Olympiaden'!$K9=0,"",(M$2-'Platzierungen alle Olympiaden'!$K9)/(M$2-1))</f>
        <v>0.285714285714286</v>
      </c>
      <c r="N9" s="5"/>
    </row>
    <row r="10" customFormat="false" ht="15" hidden="false" customHeight="false" outlineLevel="0" collapsed="false">
      <c r="B10" s="6" t="n">
        <v>7</v>
      </c>
      <c r="C10" s="6" t="n">
        <f aca="false">IF(ISNUMBER(Durchschnitt!$F10)=TRUE(),_xlfn.RANK.EQ(Durchschnitt!$F10,Durchschnitt!$F$4:$F$36,0),"")</f>
        <v>4</v>
      </c>
      <c r="D10" s="6" t="s">
        <v>12</v>
      </c>
      <c r="E10" s="6" t="n">
        <f aca="false">COUNT(G10:M10)</f>
        <v>3</v>
      </c>
      <c r="F10" s="6" t="n">
        <f aca="false">IF(Durchschnitt!$E10&gt;=3,AVERAGE(G10:M10),"")</f>
        <v>0.698412698412699</v>
      </c>
      <c r="G10" s="5" t="n">
        <f aca="false">IF('Platzierungen alle Olympiaden'!$E10=0,"",(G$2-'Platzierungen alle Olympiaden'!$E10)/(G$2-1))</f>
        <v>0.666666666666667</v>
      </c>
      <c r="H10" s="5" t="str">
        <f aca="false">IF('Platzierungen alle Olympiaden'!$F10=0,"",(H$2-'Platzierungen alle Olympiaden'!$F10)/(H$2-1))</f>
        <v/>
      </c>
      <c r="I10" s="5" t="str">
        <f aca="false">IF('Platzierungen alle Olympiaden'!$G10=0,"",(I$2-'Platzierungen alle Olympiaden'!$G10)/(I$2-1))</f>
        <v/>
      </c>
      <c r="J10" s="5" t="str">
        <f aca="false">IF('Platzierungen alle Olympiaden'!$H10=0,"",(J$2-'Platzierungen alle Olympiaden'!$H10)/(J$2-1))</f>
        <v/>
      </c>
      <c r="K10" s="5" t="n">
        <f aca="false">IF('Platzierungen alle Olympiaden'!$I10=0,"",(K$2-'Platzierungen alle Olympiaden'!$I10)/(K$2-1))</f>
        <v>0.428571428571429</v>
      </c>
      <c r="L10" s="5" t="n">
        <f aca="false">IF('Platzierungen alle Olympiaden'!$J10=0,"",(L$2-'Platzierungen alle Olympiaden'!$J10)/(L$2-1))</f>
        <v>1</v>
      </c>
      <c r="M10" s="5" t="str">
        <f aca="false">IF('Platzierungen alle Olympiaden'!$K10=0,"",(M$2-'Platzierungen alle Olympiaden'!$K10)/(M$2-1))</f>
        <v/>
      </c>
      <c r="N10" s="5"/>
    </row>
    <row r="11" customFormat="false" ht="15" hidden="false" customHeight="false" outlineLevel="0" collapsed="false">
      <c r="B11" s="6" t="n">
        <v>8</v>
      </c>
      <c r="C11" s="6" t="n">
        <f aca="false">IF(ISNUMBER(Durchschnitt!$F11)=TRUE(),_xlfn.RANK.EQ(Durchschnitt!$F11,Durchschnitt!$F$4:$F$36,0),"")</f>
        <v>10</v>
      </c>
      <c r="D11" s="6" t="s">
        <v>18</v>
      </c>
      <c r="E11" s="6" t="n">
        <f aca="false">COUNT(G11:M11)</f>
        <v>4</v>
      </c>
      <c r="F11" s="6" t="n">
        <f aca="false">IF(Durchschnitt!$E11&gt;=3,AVERAGE(G11:M11),"")</f>
        <v>0.383928571428571</v>
      </c>
      <c r="G11" s="5" t="n">
        <f aca="false">IF('Platzierungen alle Olympiaden'!$E11=0,"",(G$2-'Platzierungen alle Olympiaden'!$E11)/(G$2-1))</f>
        <v>0</v>
      </c>
      <c r="H11" s="5" t="str">
        <f aca="false">IF('Platzierungen alle Olympiaden'!$F11=0,"",(H$2-'Platzierungen alle Olympiaden'!$F11)/(H$2-1))</f>
        <v/>
      </c>
      <c r="I11" s="5" t="n">
        <f aca="false">IF('Platzierungen alle Olympiaden'!$G11=0,"",(I$2-'Platzierungen alle Olympiaden'!$G11)/(I$2-1))</f>
        <v>0.25</v>
      </c>
      <c r="J11" s="5" t="str">
        <f aca="false">IF('Platzierungen alle Olympiaden'!$H11=0,"",(J$2-'Platzierungen alle Olympiaden'!$H11)/(J$2-1))</f>
        <v/>
      </c>
      <c r="K11" s="5" t="n">
        <f aca="false">IF('Platzierungen alle Olympiaden'!$I11=0,"",(K$2-'Platzierungen alle Olympiaden'!$I11)/(K$2-1))</f>
        <v>0.857142857142857</v>
      </c>
      <c r="L11" s="5" t="str">
        <f aca="false">IF('Platzierungen alle Olympiaden'!$J11=0,"",(L$2-'Platzierungen alle Olympiaden'!$J11)/(L$2-1))</f>
        <v/>
      </c>
      <c r="M11" s="5" t="n">
        <f aca="false">IF('Platzierungen alle Olympiaden'!$K11=0,"",(M$2-'Platzierungen alle Olympiaden'!$K11)/(M$2-1))</f>
        <v>0.428571428571429</v>
      </c>
      <c r="N11" s="5"/>
    </row>
    <row r="12" customFormat="false" ht="15" hidden="false" customHeight="false" outlineLevel="0" collapsed="false">
      <c r="B12" s="6" t="n">
        <v>9</v>
      </c>
      <c r="C12" s="6" t="n">
        <f aca="false">IF(ISNUMBER(Durchschnitt!$F12)=TRUE(),_xlfn.RANK.EQ(Durchschnitt!$F12,Durchschnitt!$F$4:$F$36,0),"")</f>
        <v>12</v>
      </c>
      <c r="D12" s="6" t="s">
        <v>20</v>
      </c>
      <c r="E12" s="6" t="n">
        <f aca="false">COUNT(G12:M12)</f>
        <v>4</v>
      </c>
      <c r="F12" s="6" t="n">
        <f aca="false">IF(Durchschnitt!$E12&gt;=3,AVERAGE(G12:M12),"")</f>
        <v>0.339285714285714</v>
      </c>
      <c r="G12" s="5" t="str">
        <f aca="false">IF('Platzierungen alle Olympiaden'!$E12=0,"",(G$2-'Platzierungen alle Olympiaden'!$E12)/(G$2-1))</f>
        <v/>
      </c>
      <c r="H12" s="5" t="n">
        <f aca="false">IF('Platzierungen alle Olympiaden'!$F12=0,"",(H$2-'Platzierungen alle Olympiaden'!$F12)/(H$2-1))</f>
        <v>0.5</v>
      </c>
      <c r="I12" s="5" t="n">
        <f aca="false">IF('Platzierungen alle Olympiaden'!$G12=0,"",(I$2-'Platzierungen alle Olympiaden'!$G12)/(I$2-1))</f>
        <v>0</v>
      </c>
      <c r="J12" s="5" t="str">
        <f aca="false">IF('Platzierungen alle Olympiaden'!$H12=0,"",(J$2-'Platzierungen alle Olympiaden'!$H12)/(J$2-1))</f>
        <v/>
      </c>
      <c r="K12" s="5" t="n">
        <f aca="false">IF('Platzierungen alle Olympiaden'!$I12=0,"",(K$2-'Platzierungen alle Olympiaden'!$I12)/(K$2-1))</f>
        <v>0.142857142857143</v>
      </c>
      <c r="L12" s="5" t="str">
        <f aca="false">IF('Platzierungen alle Olympiaden'!$J12=0,"",(L$2-'Platzierungen alle Olympiaden'!$J12)/(L$2-1))</f>
        <v/>
      </c>
      <c r="M12" s="5" t="n">
        <f aca="false">IF('Platzierungen alle Olympiaden'!$K12=0,"",(M$2-'Platzierungen alle Olympiaden'!$K12)/(M$2-1))</f>
        <v>0.714285714285714</v>
      </c>
      <c r="N12" s="5"/>
    </row>
    <row r="13" customFormat="false" ht="15" hidden="false" customHeight="false" outlineLevel="0" collapsed="false">
      <c r="B13" s="6" t="n">
        <v>10</v>
      </c>
      <c r="C13" s="6" t="n">
        <f aca="false">IF(ISNUMBER(Durchschnitt!$F13)=TRUE(),_xlfn.RANK.EQ(Durchschnitt!$F13,Durchschnitt!$F$4:$F$36,0),"")</f>
        <v>7</v>
      </c>
      <c r="D13" s="6" t="s">
        <v>13</v>
      </c>
      <c r="E13" s="6" t="n">
        <f aca="false">COUNT(G13:M13)</f>
        <v>3</v>
      </c>
      <c r="F13" s="6" t="n">
        <f aca="false">IF(Durchschnitt!$E13&gt;=3,AVERAGE(G13:M13),"")</f>
        <v>0.511904761904762</v>
      </c>
      <c r="G13" s="5" t="str">
        <f aca="false">IF('Platzierungen alle Olympiaden'!$E13=0,"",(G$2-'Platzierungen alle Olympiaden'!$E13)/(G$2-1))</f>
        <v/>
      </c>
      <c r="H13" s="5" t="str">
        <f aca="false">IF('Platzierungen alle Olympiaden'!$F13=0,"",(H$2-'Platzierungen alle Olympiaden'!$F13)/(H$2-1))</f>
        <v/>
      </c>
      <c r="I13" s="5" t="n">
        <f aca="false">IF('Platzierungen alle Olympiaden'!$G13=0,"",(I$2-'Platzierungen alle Olympiaden'!$G13)/(I$2-1))</f>
        <v>0.75</v>
      </c>
      <c r="J13" s="5" t="str">
        <f aca="false">IF('Platzierungen alle Olympiaden'!$H13=0,"",(J$2-'Platzierungen alle Olympiaden'!$H13)/(J$2-1))</f>
        <v/>
      </c>
      <c r="K13" s="5" t="n">
        <f aca="false">IF('Platzierungen alle Olympiaden'!$I13=0,"",(K$2-'Platzierungen alle Olympiaden'!$I13)/(K$2-1))</f>
        <v>0.285714285714286</v>
      </c>
      <c r="L13" s="5" t="n">
        <f aca="false">IF('Platzierungen alle Olympiaden'!$J13=0,"",(L$2-'Platzierungen alle Olympiaden'!$J13)/(L$2-1))</f>
        <v>0.5</v>
      </c>
      <c r="M13" s="5" t="str">
        <f aca="false">IF('Platzierungen alle Olympiaden'!$K13=0,"",(M$2-'Platzierungen alle Olympiaden'!$K13)/(M$2-1))</f>
        <v/>
      </c>
      <c r="N13" s="5"/>
    </row>
    <row r="14" customFormat="false" ht="15" hidden="false" customHeight="false" outlineLevel="0" collapsed="false">
      <c r="B14" s="6" t="n">
        <v>11</v>
      </c>
      <c r="C14" s="6" t="n">
        <f aca="false">IF(ISNUMBER(Durchschnitt!$F14)=TRUE(),_xlfn.RANK.EQ(Durchschnitt!$F14,Durchschnitt!$F$4:$F$36,0),"")</f>
        <v>15</v>
      </c>
      <c r="D14" s="6" t="s">
        <v>19</v>
      </c>
      <c r="E14" s="6" t="n">
        <f aca="false">COUNT(G14:M14)</f>
        <v>5</v>
      </c>
      <c r="F14" s="6" t="n">
        <f aca="false">IF(Durchschnitt!$E14&gt;=3,AVERAGE(G14:M14),"")</f>
        <v>0.225</v>
      </c>
      <c r="G14" s="5" t="str">
        <f aca="false">IF('Platzierungen alle Olympiaden'!$E14=0,"",(G$2-'Platzierungen alle Olympiaden'!$E14)/(G$2-1))</f>
        <v/>
      </c>
      <c r="H14" s="5" t="n">
        <f aca="false">IF('Platzierungen alle Olympiaden'!$F14=0,"",(H$2-'Platzierungen alle Olympiaden'!$F14)/(H$2-1))</f>
        <v>0.25</v>
      </c>
      <c r="I14" s="5" t="n">
        <f aca="false">IF('Platzierungen alle Olympiaden'!$G14=0,"",(I$2-'Platzierungen alle Olympiaden'!$G14)/(I$2-1))</f>
        <v>0.5</v>
      </c>
      <c r="J14" s="5" t="n">
        <f aca="false">IF('Platzierungen alle Olympiaden'!$H14=0,"",(J$2-'Platzierungen alle Olympiaden'!$H14)/(J$2-1))</f>
        <v>0</v>
      </c>
      <c r="K14" s="5" t="n">
        <f aca="false">IF('Platzierungen alle Olympiaden'!$I14=0,"",(K$2-'Platzierungen alle Olympiaden'!$I14)/(K$2-1))</f>
        <v>0</v>
      </c>
      <c r="L14" s="5" t="n">
        <f aca="false">IF('Platzierungen alle Olympiaden'!$J14=0,"",(L$2-'Platzierungen alle Olympiaden'!$J14)/(L$2-1))</f>
        <v>0.375</v>
      </c>
      <c r="M14" s="5" t="str">
        <f aca="false">IF('Platzierungen alle Olympiaden'!$K14=0,"",(M$2-'Platzierungen alle Olympiaden'!$K14)/(M$2-1))</f>
        <v/>
      </c>
      <c r="N14" s="5"/>
    </row>
    <row r="15" customFormat="false" ht="15" hidden="false" customHeight="false" outlineLevel="0" collapsed="false">
      <c r="B15" s="6" t="n">
        <v>12</v>
      </c>
      <c r="C15" s="6" t="str">
        <f aca="false">IF(ISNUMBER(Durchschnitt!$F15)=TRUE(),_xlfn.RANK.EQ(Durchschnitt!$F15,Durchschnitt!$F$4:$F$36,0),"")</f>
        <v/>
      </c>
      <c r="D15" s="6" t="s">
        <v>21</v>
      </c>
      <c r="E15" s="6" t="n">
        <f aca="false">COUNT(G15:M15)</f>
        <v>2</v>
      </c>
      <c r="F15" s="6" t="str">
        <f aca="false">IF(Durchschnitt!$E15&gt;=3,AVERAGE(G15:M15),"")</f>
        <v/>
      </c>
      <c r="G15" s="5" t="str">
        <f aca="false">IF('Platzierungen alle Olympiaden'!$E15=0,"",(G$2-'Platzierungen alle Olympiaden'!$E15)/(G$2-1))</f>
        <v/>
      </c>
      <c r="H15" s="5" t="str">
        <f aca="false">IF('Platzierungen alle Olympiaden'!$F15=0,"",(H$2-'Platzierungen alle Olympiaden'!$F15)/(H$2-1))</f>
        <v/>
      </c>
      <c r="I15" s="5" t="str">
        <f aca="false">IF('Platzierungen alle Olympiaden'!$G15=0,"",(I$2-'Platzierungen alle Olympiaden'!$G15)/(I$2-1))</f>
        <v/>
      </c>
      <c r="J15" s="5" t="str">
        <f aca="false">IF('Platzierungen alle Olympiaden'!$H15=0,"",(J$2-'Platzierungen alle Olympiaden'!$H15)/(J$2-1))</f>
        <v/>
      </c>
      <c r="K15" s="5" t="str">
        <f aca="false">IF('Platzierungen alle Olympiaden'!$I15=0,"",(K$2-'Platzierungen alle Olympiaden'!$I15)/(K$2-1))</f>
        <v/>
      </c>
      <c r="L15" s="5" t="n">
        <f aca="false">IF('Platzierungen alle Olympiaden'!$J15=0,"",(L$2-'Platzierungen alle Olympiaden'!$J15)/(L$2-1))</f>
        <v>0.875</v>
      </c>
      <c r="M15" s="5" t="n">
        <f aca="false">IF('Platzierungen alle Olympiaden'!$K15=0,"",(M$2-'Platzierungen alle Olympiaden'!$K15)/(M$2-1))</f>
        <v>0.285714285714286</v>
      </c>
      <c r="N15" s="5"/>
    </row>
    <row r="16" customFormat="false" ht="15" hidden="false" customHeight="false" outlineLevel="0" collapsed="false">
      <c r="B16" s="6" t="n">
        <v>13</v>
      </c>
      <c r="C16" s="6" t="str">
        <f aca="false">IF(ISNUMBER(Durchschnitt!$F16)=TRUE(),_xlfn.RANK.EQ(Durchschnitt!$F16,Durchschnitt!$F$4:$F$36,0),"")</f>
        <v/>
      </c>
      <c r="D16" s="6" t="s">
        <v>16</v>
      </c>
      <c r="E16" s="6" t="n">
        <f aca="false">COUNT(G16:M16)</f>
        <v>2</v>
      </c>
      <c r="F16" s="6" t="str">
        <f aca="false">IF(Durchschnitt!$E16&gt;=3,AVERAGE(G16:M16),"")</f>
        <v/>
      </c>
      <c r="G16" s="5" t="str">
        <f aca="false">IF('Platzierungen alle Olympiaden'!$E16=0,"",(G$2-'Platzierungen alle Olympiaden'!$E16)/(G$2-1))</f>
        <v/>
      </c>
      <c r="H16" s="5" t="str">
        <f aca="false">IF('Platzierungen alle Olympiaden'!$F16=0,"",(H$2-'Platzierungen alle Olympiaden'!$F16)/(H$2-1))</f>
        <v/>
      </c>
      <c r="I16" s="5" t="str">
        <f aca="false">IF('Platzierungen alle Olympiaden'!$G16=0,"",(I$2-'Platzierungen alle Olympiaden'!$G16)/(I$2-1))</f>
        <v/>
      </c>
      <c r="J16" s="5" t="str">
        <f aca="false">IF('Platzierungen alle Olympiaden'!$H16=0,"",(J$2-'Platzierungen alle Olympiaden'!$H16)/(J$2-1))</f>
        <v/>
      </c>
      <c r="K16" s="5" t="str">
        <f aca="false">IF('Platzierungen alle Olympiaden'!$I16=0,"",(K$2-'Platzierungen alle Olympiaden'!$I16)/(K$2-1))</f>
        <v/>
      </c>
      <c r="L16" s="5" t="n">
        <f aca="false">IF('Platzierungen alle Olympiaden'!$J16=0,"",(L$2-'Platzierungen alle Olympiaden'!$J16)/(L$2-1))</f>
        <v>0.5</v>
      </c>
      <c r="M16" s="5" t="n">
        <f aca="false">IF('Platzierungen alle Olympiaden'!$K16=0,"",(M$2-'Platzierungen alle Olympiaden'!$K16)/(M$2-1))</f>
        <v>0.571428571428571</v>
      </c>
      <c r="N16" s="5"/>
    </row>
    <row r="17" customFormat="false" ht="15" hidden="false" customHeight="false" outlineLevel="0" collapsed="false">
      <c r="B17" s="6" t="n">
        <v>14</v>
      </c>
      <c r="C17" s="6" t="str">
        <f aca="false">IF(ISNUMBER(Durchschnitt!$F17)=TRUE(),_xlfn.RANK.EQ(Durchschnitt!$F17,Durchschnitt!$F$4:$F$36,0),"")</f>
        <v/>
      </c>
      <c r="D17" s="6" t="s">
        <v>23</v>
      </c>
      <c r="E17" s="6" t="n">
        <f aca="false">COUNT(G17:M17)</f>
        <v>2</v>
      </c>
      <c r="F17" s="6" t="str">
        <f aca="false">IF(Durchschnitt!$E17&gt;=3,AVERAGE(G17:M17),"")</f>
        <v/>
      </c>
      <c r="G17" s="5" t="str">
        <f aca="false">IF('Platzierungen alle Olympiaden'!$E17=0,"",(G$2-'Platzierungen alle Olympiaden'!$E17)/(G$2-1))</f>
        <v/>
      </c>
      <c r="H17" s="5" t="n">
        <f aca="false">IF('Platzierungen alle Olympiaden'!$F17=0,"",(H$2-'Platzierungen alle Olympiaden'!$F17)/(H$2-1))</f>
        <v>0.5</v>
      </c>
      <c r="I17" s="5" t="str">
        <f aca="false">IF('Platzierungen alle Olympiaden'!$G17=0,"",(I$2-'Platzierungen alle Olympiaden'!$G17)/(I$2-1))</f>
        <v/>
      </c>
      <c r="J17" s="5" t="str">
        <f aca="false">IF('Platzierungen alle Olympiaden'!$H17=0,"",(J$2-'Platzierungen alle Olympiaden'!$H17)/(J$2-1))</f>
        <v/>
      </c>
      <c r="K17" s="5" t="str">
        <f aca="false">IF('Platzierungen alle Olympiaden'!$I17=0,"",(K$2-'Platzierungen alle Olympiaden'!$I17)/(K$2-1))</f>
        <v/>
      </c>
      <c r="L17" s="5" t="n">
        <f aca="false">IF('Platzierungen alle Olympiaden'!$J17=0,"",(L$2-'Platzierungen alle Olympiaden'!$J17)/(L$2-1))</f>
        <v>0.625</v>
      </c>
      <c r="M17" s="5" t="str">
        <f aca="false">IF('Platzierungen alle Olympiaden'!$K17=0,"",(M$2-'Platzierungen alle Olympiaden'!$K17)/(M$2-1))</f>
        <v/>
      </c>
      <c r="N17" s="5"/>
    </row>
    <row r="18" customFormat="false" ht="15" hidden="false" customHeight="false" outlineLevel="0" collapsed="false">
      <c r="B18" s="6" t="n">
        <v>15</v>
      </c>
      <c r="C18" s="6" t="n">
        <f aca="false">IF(ISNUMBER(Durchschnitt!$F18)=TRUE(),_xlfn.RANK.EQ(Durchschnitt!$F18,Durchschnitt!$F$4:$F$36,0),"")</f>
        <v>14</v>
      </c>
      <c r="D18" s="6" t="s">
        <v>22</v>
      </c>
      <c r="E18" s="6" t="n">
        <f aca="false">COUNT(G18:M18)</f>
        <v>3</v>
      </c>
      <c r="F18" s="6" t="n">
        <f aca="false">IF(Durchschnitt!$E18&gt;=3,AVERAGE(G18:M18),"")</f>
        <v>0.226190476190476</v>
      </c>
      <c r="G18" s="5" t="str">
        <f aca="false">IF('Platzierungen alle Olympiaden'!$E18=0,"",(G$2-'Platzierungen alle Olympiaden'!$E18)/(G$2-1))</f>
        <v/>
      </c>
      <c r="H18" s="5" t="str">
        <f aca="false">IF('Platzierungen alle Olympiaden'!$F18=0,"",(H$2-'Platzierungen alle Olympiaden'!$F18)/(H$2-1))</f>
        <v/>
      </c>
      <c r="I18" s="5" t="str">
        <f aca="false">IF('Platzierungen alle Olympiaden'!$G18=0,"",(I$2-'Platzierungen alle Olympiaden'!$G18)/(I$2-1))</f>
        <v/>
      </c>
      <c r="J18" s="5" t="str">
        <f aca="false">IF('Platzierungen alle Olympiaden'!$H18=0,"",(J$2-'Platzierungen alle Olympiaden'!$H18)/(J$2-1))</f>
        <v/>
      </c>
      <c r="K18" s="5" t="n">
        <f aca="false">IF('Platzierungen alle Olympiaden'!$I18=0,"",(K$2-'Platzierungen alle Olympiaden'!$I18)/(K$2-1))</f>
        <v>0.428571428571429</v>
      </c>
      <c r="L18" s="5" t="n">
        <f aca="false">IF('Platzierungen alle Olympiaden'!$J18=0,"",(L$2-'Platzierungen alle Olympiaden'!$J18)/(L$2-1))</f>
        <v>0.25</v>
      </c>
      <c r="M18" s="5" t="n">
        <f aca="false">IF('Platzierungen alle Olympiaden'!$K18=0,"",(M$2-'Platzierungen alle Olympiaden'!$K18)/(M$2-1))</f>
        <v>0</v>
      </c>
      <c r="N18" s="5"/>
    </row>
    <row r="19" customFormat="false" ht="15" hidden="false" customHeight="false" outlineLevel="0" collapsed="false">
      <c r="B19" s="6" t="n">
        <v>16</v>
      </c>
      <c r="C19" s="6" t="n">
        <f aca="false">IF(ISNUMBER(Durchschnitt!$F19)=TRUE(),_xlfn.RANK.EQ(Durchschnitt!$F19,Durchschnitt!$F$4:$F$36,0),"")</f>
        <v>13</v>
      </c>
      <c r="D19" s="6" t="s">
        <v>17</v>
      </c>
      <c r="E19" s="6" t="n">
        <f aca="false">COUNT(G19:M19)</f>
        <v>3</v>
      </c>
      <c r="F19" s="6" t="n">
        <f aca="false">IF(Durchschnitt!$E19&gt;=3,AVERAGE(G19:M19),"")</f>
        <v>0.333333333333333</v>
      </c>
      <c r="G19" s="5" t="str">
        <f aca="false">IF('Platzierungen alle Olympiaden'!$E19=0,"",(G$2-'Platzierungen alle Olympiaden'!$E19)/(G$2-1))</f>
        <v/>
      </c>
      <c r="H19" s="5" t="n">
        <f aca="false">IF('Platzierungen alle Olympiaden'!$F19=0,"",(H$2-'Platzierungen alle Olympiaden'!$F19)/(H$2-1))</f>
        <v>0</v>
      </c>
      <c r="I19" s="5" t="str">
        <f aca="false">IF('Platzierungen alle Olympiaden'!$G19=0,"",(I$2-'Platzierungen alle Olympiaden'!$G19)/(I$2-1))</f>
        <v/>
      </c>
      <c r="J19" s="5" t="n">
        <f aca="false">IF('Platzierungen alle Olympiaden'!$H19=0,"",(J$2-'Platzierungen alle Olympiaden'!$H19)/(J$2-1))</f>
        <v>0.75</v>
      </c>
      <c r="K19" s="5" t="str">
        <f aca="false">IF('Platzierungen alle Olympiaden'!$I19=0,"",(K$2-'Platzierungen alle Olympiaden'!$I19)/(K$2-1))</f>
        <v/>
      </c>
      <c r="L19" s="5" t="n">
        <f aca="false">IF('Platzierungen alle Olympiaden'!$J19=0,"",(L$2-'Platzierungen alle Olympiaden'!$J19)/(L$2-1))</f>
        <v>0.25</v>
      </c>
      <c r="M19" s="5" t="str">
        <f aca="false">IF('Platzierungen alle Olympiaden'!$K19=0,"",(M$2-'Platzierungen alle Olympiaden'!$K19)/(M$2-1))</f>
        <v/>
      </c>
      <c r="N19" s="5"/>
    </row>
    <row r="20" customFormat="false" ht="15" hidden="false" customHeight="false" outlineLevel="0" collapsed="false">
      <c r="B20" s="6" t="n">
        <v>17</v>
      </c>
      <c r="C20" s="6" t="n">
        <f aca="false">IF(ISNUMBER(Durchschnitt!$F20)=TRUE(),_xlfn.RANK.EQ(Durchschnitt!$F20,Durchschnitt!$F$4:$F$36,0),"")</f>
        <v>9</v>
      </c>
      <c r="D20" s="6" t="s">
        <v>24</v>
      </c>
      <c r="E20" s="6" t="n">
        <f aca="false">COUNT(G20:M20)</f>
        <v>3</v>
      </c>
      <c r="F20" s="6" t="n">
        <f aca="false">IF(Durchschnitt!$E20&gt;=3,AVERAGE(G20:M20),"")</f>
        <v>0.402777777777778</v>
      </c>
      <c r="G20" s="5" t="n">
        <f aca="false">IF('Platzierungen alle Olympiaden'!$E20=0,"",(G$2-'Platzierungen alle Olympiaden'!$E20)/(G$2-1))</f>
        <v>0.333333333333333</v>
      </c>
      <c r="H20" s="5" t="str">
        <f aca="false">IF('Platzierungen alle Olympiaden'!$F20=0,"",(H$2-'Platzierungen alle Olympiaden'!$F20)/(H$2-1))</f>
        <v/>
      </c>
      <c r="I20" s="5" t="n">
        <f aca="false">IF('Platzierungen alle Olympiaden'!$G20=0,"",(I$2-'Platzierungen alle Olympiaden'!$G20)/(I$2-1))</f>
        <v>0.75</v>
      </c>
      <c r="J20" s="5" t="str">
        <f aca="false">IF('Platzierungen alle Olympiaden'!$H20=0,"",(J$2-'Platzierungen alle Olympiaden'!$H20)/(J$2-1))</f>
        <v/>
      </c>
      <c r="K20" s="5" t="str">
        <f aca="false">IF('Platzierungen alle Olympiaden'!$I20=0,"",(K$2-'Platzierungen alle Olympiaden'!$I20)/(K$2-1))</f>
        <v/>
      </c>
      <c r="L20" s="5" t="n">
        <f aca="false">IF('Platzierungen alle Olympiaden'!$J20=0,"",(L$2-'Platzierungen alle Olympiaden'!$J20)/(L$2-1))</f>
        <v>0.125</v>
      </c>
      <c r="M20" s="5" t="str">
        <f aca="false">IF('Platzierungen alle Olympiaden'!$K20=0,"",(M$2-'Platzierungen alle Olympiaden'!$K20)/(M$2-1))</f>
        <v/>
      </c>
      <c r="N20" s="5"/>
    </row>
    <row r="21" customFormat="false" ht="15.75" hidden="false" customHeight="true" outlineLevel="0" collapsed="false">
      <c r="B21" s="6" t="n">
        <v>18</v>
      </c>
      <c r="C21" s="6" t="str">
        <f aca="false">IF(ISNUMBER(Durchschnitt!$F21)=TRUE(),_xlfn.RANK.EQ(Durchschnitt!$F21,Durchschnitt!$F$4:$F$36,0),"")</f>
        <v/>
      </c>
      <c r="D21" s="6" t="s">
        <v>26</v>
      </c>
      <c r="E21" s="6" t="n">
        <f aca="false">COUNT(G21:M21)</f>
        <v>2</v>
      </c>
      <c r="F21" s="6" t="str">
        <f aca="false">IF(Durchschnitt!$E21&gt;=3,AVERAGE(G21:M21),"")</f>
        <v/>
      </c>
      <c r="G21" s="5" t="str">
        <f aca="false">IF('Platzierungen alle Olympiaden'!$E21=0,"",(G$2-'Platzierungen alle Olympiaden'!$E21)/(G$2-1))</f>
        <v/>
      </c>
      <c r="H21" s="5" t="n">
        <f aca="false">IF('Platzierungen alle Olympiaden'!$F21=0,"",(H$2-'Platzierungen alle Olympiaden'!$F21)/(H$2-1))</f>
        <v>0.75</v>
      </c>
      <c r="I21" s="5" t="str">
        <f aca="false">IF('Platzierungen alle Olympiaden'!$G21=0,"",(I$2-'Platzierungen alle Olympiaden'!$G21)/(I$2-1))</f>
        <v/>
      </c>
      <c r="J21" s="5" t="n">
        <f aca="false">IF('Platzierungen alle Olympiaden'!$H21=0,"",(J$2-'Platzierungen alle Olympiaden'!$H21)/(J$2-1))</f>
        <v>0.75</v>
      </c>
      <c r="K21" s="5" t="str">
        <f aca="false">IF('Platzierungen alle Olympiaden'!$I21=0,"",(K$2-'Platzierungen alle Olympiaden'!$I21)/(K$2-1))</f>
        <v/>
      </c>
      <c r="L21" s="5" t="str">
        <f aca="false">IF('Platzierungen alle Olympiaden'!$J21=0,"",(L$2-'Platzierungen alle Olympiaden'!$J21)/(L$2-1))</f>
        <v/>
      </c>
      <c r="M21" s="5" t="str">
        <f aca="false">IF('Platzierungen alle Olympiaden'!$K21=0,"",(M$2-'Platzierungen alle Olympiaden'!$K21)/(M$2-1))</f>
        <v/>
      </c>
      <c r="N21" s="5"/>
    </row>
    <row r="22" customFormat="false" ht="15.75" hidden="false" customHeight="true" outlineLevel="0" collapsed="false">
      <c r="B22" s="6" t="n">
        <v>19</v>
      </c>
      <c r="C22" s="6" t="str">
        <f aca="false">IF(ISNUMBER(Durchschnitt!$F22)=TRUE(),_xlfn.RANK.EQ(Durchschnitt!$F22,Durchschnitt!$F$4:$F$36,0),"")</f>
        <v/>
      </c>
      <c r="D22" s="6" t="s">
        <v>15</v>
      </c>
      <c r="E22" s="6" t="n">
        <f aca="false">COUNT(G22:M22)</f>
        <v>1</v>
      </c>
      <c r="F22" s="6" t="str">
        <f aca="false">IF(Durchschnitt!$E22&gt;=3,AVERAGE(G22:M22),"")</f>
        <v/>
      </c>
      <c r="G22" s="5" t="str">
        <f aca="false">IF('Platzierungen alle Olympiaden'!$E22=0,"",(G$2-'Platzierungen alle Olympiaden'!$E22)/(G$2-1))</f>
        <v/>
      </c>
      <c r="H22" s="5" t="str">
        <f aca="false">IF('Platzierungen alle Olympiaden'!$F22=0,"",(H$2-'Platzierungen alle Olympiaden'!$F22)/(H$2-1))</f>
        <v/>
      </c>
      <c r="I22" s="5" t="str">
        <f aca="false">IF('Platzierungen alle Olympiaden'!$G22=0,"",(I$2-'Platzierungen alle Olympiaden'!$G22)/(I$2-1))</f>
        <v/>
      </c>
      <c r="J22" s="5" t="str">
        <f aca="false">IF('Platzierungen alle Olympiaden'!$H22=0,"",(J$2-'Platzierungen alle Olympiaden'!$H22)/(J$2-1))</f>
        <v/>
      </c>
      <c r="K22" s="5" t="str">
        <f aca="false">IF('Platzierungen alle Olympiaden'!$I22=0,"",(K$2-'Platzierungen alle Olympiaden'!$I22)/(K$2-1))</f>
        <v/>
      </c>
      <c r="L22" s="5" t="str">
        <f aca="false">IF('Platzierungen alle Olympiaden'!$J22=0,"",(L$2-'Platzierungen alle Olympiaden'!$J22)/(L$2-1))</f>
        <v/>
      </c>
      <c r="M22" s="5" t="n">
        <f aca="false">IF('Platzierungen alle Olympiaden'!$K22=0,"",(M$2-'Platzierungen alle Olympiaden'!$K22)/(M$2-1))</f>
        <v>1</v>
      </c>
      <c r="N22" s="5"/>
    </row>
    <row r="23" customFormat="false" ht="15.75" hidden="false" customHeight="true" outlineLevel="0" collapsed="false">
      <c r="B23" s="6" t="n">
        <v>20</v>
      </c>
      <c r="C23" s="6" t="n">
        <f aca="false">IF(ISNUMBER(Durchschnitt!$F23)=TRUE(),_xlfn.RANK.EQ(Durchschnitt!$F23,Durchschnitt!$F$4:$F$36,0),"")</f>
        <v>11</v>
      </c>
      <c r="D23" s="6" t="s">
        <v>28</v>
      </c>
      <c r="E23" s="6" t="n">
        <f aca="false">COUNT(G23:M23)</f>
        <v>3</v>
      </c>
      <c r="F23" s="6" t="n">
        <f aca="false">IF(Durchschnitt!$E23&gt;=3,AVERAGE(G23:M23),"")</f>
        <v>0.380952380952381</v>
      </c>
      <c r="G23" s="5" t="n">
        <f aca="false">IF('Platzierungen alle Olympiaden'!$E23=0,"",(G$2-'Platzierungen alle Olympiaden'!$E23)/(G$2-1))</f>
        <v>1</v>
      </c>
      <c r="H23" s="5" t="str">
        <f aca="false">IF('Platzierungen alle Olympiaden'!$F23=0,"",(H$2-'Platzierungen alle Olympiaden'!$F23)/(H$2-1))</f>
        <v/>
      </c>
      <c r="I23" s="5" t="n">
        <f aca="false">IF('Platzierungen alle Olympiaden'!$G23=0,"",(I$2-'Platzierungen alle Olympiaden'!$G23)/(I$2-1))</f>
        <v>0</v>
      </c>
      <c r="J23" s="5" t="str">
        <f aca="false">IF('Platzierungen alle Olympiaden'!$H23=0,"",(J$2-'Platzierungen alle Olympiaden'!$H23)/(J$2-1))</f>
        <v/>
      </c>
      <c r="K23" s="5" t="str">
        <f aca="false">IF('Platzierungen alle Olympiaden'!$I23=0,"",(K$2-'Platzierungen alle Olympiaden'!$I23)/(K$2-1))</f>
        <v/>
      </c>
      <c r="L23" s="5" t="str">
        <f aca="false">IF('Platzierungen alle Olympiaden'!$J23=0,"",(L$2-'Platzierungen alle Olympiaden'!$J23)/(L$2-1))</f>
        <v/>
      </c>
      <c r="M23" s="5" t="n">
        <f aca="false">IF('Platzierungen alle Olympiaden'!$K23=0,"",(M$2-'Platzierungen alle Olympiaden'!$K23)/(M$2-1))</f>
        <v>0.142857142857143</v>
      </c>
      <c r="N23" s="5"/>
    </row>
    <row r="24" customFormat="false" ht="15.75" hidden="false" customHeight="true" outlineLevel="0" collapsed="false">
      <c r="B24" s="6" t="n">
        <v>21</v>
      </c>
      <c r="C24" s="6" t="str">
        <f aca="false">IF(ISNUMBER(Durchschnitt!$F24)=TRUE(),_xlfn.RANK.EQ(Durchschnitt!$F24,Durchschnitt!$F$4:$F$36,0),"")</f>
        <v/>
      </c>
      <c r="D24" s="6" t="s">
        <v>29</v>
      </c>
      <c r="E24" s="6" t="n">
        <f aca="false">COUNT(G24:M24)</f>
        <v>1</v>
      </c>
      <c r="F24" s="6" t="str">
        <f aca="false">IF(Durchschnitt!$E24&gt;=3,AVERAGE(G24:M24),"")</f>
        <v/>
      </c>
      <c r="G24" s="5" t="str">
        <f aca="false">IF('Platzierungen alle Olympiaden'!$E24=0,"",(G$2-'Platzierungen alle Olympiaden'!$E24)/(G$2-1))</f>
        <v/>
      </c>
      <c r="H24" s="5" t="str">
        <f aca="false">IF('Platzierungen alle Olympiaden'!$F24=0,"",(H$2-'Platzierungen alle Olympiaden'!$F24)/(H$2-1))</f>
        <v/>
      </c>
      <c r="I24" s="5" t="str">
        <f aca="false">IF('Platzierungen alle Olympiaden'!$G24=0,"",(I$2-'Platzierungen alle Olympiaden'!$G24)/(I$2-1))</f>
        <v/>
      </c>
      <c r="J24" s="5" t="str">
        <f aca="false">IF('Platzierungen alle Olympiaden'!$H24=0,"",(J$2-'Platzierungen alle Olympiaden'!$H24)/(J$2-1))</f>
        <v/>
      </c>
      <c r="K24" s="5" t="n">
        <f aca="false">IF('Platzierungen alle Olympiaden'!$I24=0,"",(K$2-'Platzierungen alle Olympiaden'!$I24)/(K$2-1))</f>
        <v>0.857142857142857</v>
      </c>
      <c r="L24" s="5" t="str">
        <f aca="false">IF('Platzierungen alle Olympiaden'!$J24=0,"",(L$2-'Platzierungen alle Olympiaden'!$J24)/(L$2-1))</f>
        <v/>
      </c>
      <c r="M24" s="5" t="str">
        <f aca="false">IF('Platzierungen alle Olympiaden'!$K24=0,"",(M$2-'Platzierungen alle Olympiaden'!$K24)/(M$2-1))</f>
        <v/>
      </c>
      <c r="N24" s="5"/>
    </row>
    <row r="25" customFormat="false" ht="15.75" hidden="false" customHeight="true" outlineLevel="0" collapsed="false">
      <c r="B25" s="6" t="n">
        <v>22</v>
      </c>
      <c r="C25" s="6" t="str">
        <f aca="false">IF(ISNUMBER(Durchschnitt!$F25)=TRUE(),_xlfn.RANK.EQ(Durchschnitt!$F25,Durchschnitt!$F$4:$F$36,0),"")</f>
        <v/>
      </c>
      <c r="D25" s="6" t="s">
        <v>14</v>
      </c>
      <c r="E25" s="6" t="n">
        <f aca="false">COUNT(G25:M25)</f>
        <v>1</v>
      </c>
      <c r="F25" s="6" t="str">
        <f aca="false">IF(Durchschnitt!$E25&gt;=3,AVERAGE(G25:M25),"")</f>
        <v/>
      </c>
      <c r="G25" s="5" t="str">
        <f aca="false">IF('Platzierungen alle Olympiaden'!$E25=0,"",(G$2-'Platzierungen alle Olympiaden'!$E25)/(G$2-1))</f>
        <v/>
      </c>
      <c r="H25" s="5" t="str">
        <f aca="false">IF('Platzierungen alle Olympiaden'!$F25=0,"",(H$2-'Platzierungen alle Olympiaden'!$F25)/(H$2-1))</f>
        <v/>
      </c>
      <c r="I25" s="5" t="str">
        <f aca="false">IF('Platzierungen alle Olympiaden'!$G25=0,"",(I$2-'Platzierungen alle Olympiaden'!$G25)/(I$2-1))</f>
        <v/>
      </c>
      <c r="J25" s="5" t="str">
        <f aca="false">IF('Platzierungen alle Olympiaden'!$H25=0,"",(J$2-'Platzierungen alle Olympiaden'!$H25)/(J$2-1))</f>
        <v/>
      </c>
      <c r="K25" s="5" t="str">
        <f aca="false">IF('Platzierungen alle Olympiaden'!$I25=0,"",(K$2-'Platzierungen alle Olympiaden'!$I25)/(K$2-1))</f>
        <v/>
      </c>
      <c r="L25" s="5" t="n">
        <f aca="false">IF('Platzierungen alle Olympiaden'!$J25=0,"",(L$2-'Platzierungen alle Olympiaden'!$J25)/(L$2-1))</f>
        <v>0.75</v>
      </c>
      <c r="M25" s="5" t="str">
        <f aca="false">IF('Platzierungen alle Olympiaden'!$K25=0,"",(M$2-'Platzierungen alle Olympiaden'!$K25)/(M$2-1))</f>
        <v/>
      </c>
      <c r="N25" s="5"/>
    </row>
    <row r="26" customFormat="false" ht="15.75" hidden="false" customHeight="true" outlineLevel="0" collapsed="false">
      <c r="B26" s="6" t="n">
        <v>23</v>
      </c>
      <c r="C26" s="6" t="str">
        <f aca="false">IF(ISNUMBER(Durchschnitt!$F26)=TRUE(),_xlfn.RANK.EQ(Durchschnitt!$F26,Durchschnitt!$F$4:$F$36,0),"")</f>
        <v/>
      </c>
      <c r="D26" s="6" t="s">
        <v>30</v>
      </c>
      <c r="E26" s="6" t="n">
        <f aca="false">COUNT(G26:M26)</f>
        <v>1</v>
      </c>
      <c r="F26" s="6" t="str">
        <f aca="false">IF(Durchschnitt!$E26&gt;=3,AVERAGE(G26:M26),"")</f>
        <v/>
      </c>
      <c r="G26" s="5" t="str">
        <f aca="false">IF('Platzierungen alle Olympiaden'!$E26=0,"",(G$2-'Platzierungen alle Olympiaden'!$E26)/(G$2-1))</f>
        <v/>
      </c>
      <c r="H26" s="5" t="str">
        <f aca="false">IF('Platzierungen alle Olympiaden'!$F26=0,"",(H$2-'Platzierungen alle Olympiaden'!$F26)/(H$2-1))</f>
        <v/>
      </c>
      <c r="I26" s="5" t="str">
        <f aca="false">IF('Platzierungen alle Olympiaden'!$G26=0,"",(I$2-'Platzierungen alle Olympiaden'!$G26)/(I$2-1))</f>
        <v/>
      </c>
      <c r="J26" s="5" t="str">
        <f aca="false">IF('Platzierungen alle Olympiaden'!$H26=0,"",(J$2-'Platzierungen alle Olympiaden'!$H26)/(J$2-1))</f>
        <v/>
      </c>
      <c r="K26" s="5" t="str">
        <f aca="false">IF('Platzierungen alle Olympiaden'!$I26=0,"",(K$2-'Platzierungen alle Olympiaden'!$I26)/(K$2-1))</f>
        <v/>
      </c>
      <c r="L26" s="5" t="str">
        <f aca="false">IF('Platzierungen alle Olympiaden'!$J26=0,"",(L$2-'Platzierungen alle Olympiaden'!$J26)/(L$2-1))</f>
        <v/>
      </c>
      <c r="M26" s="5" t="n">
        <f aca="false">IF('Platzierungen alle Olympiaden'!$K26=0,"",(M$2-'Platzierungen alle Olympiaden'!$K26)/(M$2-1))</f>
        <v>0.857142857142857</v>
      </c>
      <c r="N26" s="5"/>
    </row>
    <row r="27" customFormat="false" ht="15.75" hidden="false" customHeight="true" outlineLevel="0" collapsed="false">
      <c r="B27" s="6" t="n">
        <v>24</v>
      </c>
      <c r="C27" s="6" t="str">
        <f aca="false">IF(ISNUMBER(Durchschnitt!$F27)=TRUE(),_xlfn.RANK.EQ(Durchschnitt!$F27,Durchschnitt!$F$4:$F$36,0),"")</f>
        <v/>
      </c>
      <c r="D27" s="6" t="s">
        <v>31</v>
      </c>
      <c r="E27" s="6" t="n">
        <f aca="false">COUNT(G27:M27)</f>
        <v>2</v>
      </c>
      <c r="F27" s="6" t="str">
        <f aca="false">IF(Durchschnitt!$E27&gt;=3,AVERAGE(G27:M27),"")</f>
        <v/>
      </c>
      <c r="G27" s="5" t="str">
        <f aca="false">IF('Platzierungen alle Olympiaden'!$E27=0,"",(G$2-'Platzierungen alle Olympiaden'!$E27)/(G$2-1))</f>
        <v/>
      </c>
      <c r="H27" s="5" t="n">
        <f aca="false">IF('Platzierungen alle Olympiaden'!$F27=0,"",(H$2-'Platzierungen alle Olympiaden'!$F27)/(H$2-1))</f>
        <v>0.5</v>
      </c>
      <c r="I27" s="5" t="str">
        <f aca="false">IF('Platzierungen alle Olympiaden'!$G27=0,"",(I$2-'Platzierungen alle Olympiaden'!$G27)/(I$2-1))</f>
        <v/>
      </c>
      <c r="J27" s="5" t="n">
        <f aca="false">IF('Platzierungen alle Olympiaden'!$H27=0,"",(J$2-'Platzierungen alle Olympiaden'!$H27)/(J$2-1))</f>
        <v>0.25</v>
      </c>
      <c r="K27" s="5" t="str">
        <f aca="false">IF('Platzierungen alle Olympiaden'!$I27=0,"",(K$2-'Platzierungen alle Olympiaden'!$I27)/(K$2-1))</f>
        <v/>
      </c>
      <c r="L27" s="5" t="str">
        <f aca="false">IF('Platzierungen alle Olympiaden'!$J27=0,"",(L$2-'Platzierungen alle Olympiaden'!$J27)/(L$2-1))</f>
        <v/>
      </c>
      <c r="M27" s="5" t="str">
        <f aca="false">IF('Platzierungen alle Olympiaden'!$K27=0,"",(M$2-'Platzierungen alle Olympiaden'!$K27)/(M$2-1))</f>
        <v/>
      </c>
      <c r="N27" s="5"/>
    </row>
    <row r="28" customFormat="false" ht="15.75" hidden="false" customHeight="true" outlineLevel="0" collapsed="false">
      <c r="B28" s="6" t="n">
        <v>25</v>
      </c>
      <c r="C28" s="6" t="str">
        <f aca="false">IF(ISNUMBER(Durchschnitt!$F28)=TRUE(),_xlfn.RANK.EQ(Durchschnitt!$F28,Durchschnitt!$F$4:$F$36,0),"")</f>
        <v/>
      </c>
      <c r="D28" s="6" t="s">
        <v>32</v>
      </c>
      <c r="E28" s="6" t="n">
        <f aca="false">COUNT(G28:M28)</f>
        <v>1</v>
      </c>
      <c r="F28" s="6" t="str">
        <f aca="false">IF(Durchschnitt!$E28&gt;=3,AVERAGE(G28:M28),"")</f>
        <v/>
      </c>
      <c r="G28" s="5" t="str">
        <f aca="false">IF('Platzierungen alle Olympiaden'!$E28=0,"",(G$2-'Platzierungen alle Olympiaden'!$E28)/(G$2-1))</f>
        <v/>
      </c>
      <c r="H28" s="5" t="str">
        <f aca="false">IF('Platzierungen alle Olympiaden'!$F28=0,"",(H$2-'Platzierungen alle Olympiaden'!$F28)/(H$2-1))</f>
        <v/>
      </c>
      <c r="I28" s="5" t="str">
        <f aca="false">IF('Platzierungen alle Olympiaden'!$G28=0,"",(I$2-'Platzierungen alle Olympiaden'!$G28)/(I$2-1))</f>
        <v/>
      </c>
      <c r="J28" s="5" t="str">
        <f aca="false">IF('Platzierungen alle Olympiaden'!$H28=0,"",(J$2-'Platzierungen alle Olympiaden'!$H28)/(J$2-1))</f>
        <v/>
      </c>
      <c r="K28" s="5" t="n">
        <f aca="false">IF('Platzierungen alle Olympiaden'!$I28=0,"",(K$2-'Platzierungen alle Olympiaden'!$I28)/(K$2-1))</f>
        <v>0.571428571428571</v>
      </c>
      <c r="L28" s="5" t="str">
        <f aca="false">IF('Platzierungen alle Olympiaden'!$J28=0,"",(L$2-'Platzierungen alle Olympiaden'!$J28)/(L$2-1))</f>
        <v/>
      </c>
      <c r="M28" s="5" t="str">
        <f aca="false">IF('Platzierungen alle Olympiaden'!$K28=0,"",(M$2-'Platzierungen alle Olympiaden'!$K28)/(M$2-1))</f>
        <v/>
      </c>
      <c r="N28" s="5"/>
    </row>
    <row r="29" customFormat="false" ht="15.75" hidden="false" customHeight="true" outlineLevel="0" collapsed="false">
      <c r="B29" s="6" t="n">
        <v>26</v>
      </c>
      <c r="C29" s="6" t="str">
        <f aca="false">IF(ISNUMBER(Durchschnitt!$F29)=TRUE(),_xlfn.RANK.EQ(Durchschnitt!$F29,Durchschnitt!$F$4:$F$36,0),"")</f>
        <v/>
      </c>
      <c r="D29" s="6" t="s">
        <v>33</v>
      </c>
      <c r="E29" s="6" t="n">
        <f aca="false">COUNT(G29:M29)</f>
        <v>1</v>
      </c>
      <c r="F29" s="6" t="str">
        <f aca="false">IF(Durchschnitt!$E29&gt;=3,AVERAGE(G29:M29),"")</f>
        <v/>
      </c>
      <c r="G29" s="5" t="str">
        <f aca="false">IF('Platzierungen alle Olympiaden'!$E29=0,"",(G$2-'Platzierungen alle Olympiaden'!$E29)/(G$2-1))</f>
        <v/>
      </c>
      <c r="H29" s="5" t="str">
        <f aca="false">IF('Platzierungen alle Olympiaden'!$F29=0,"",(H$2-'Platzierungen alle Olympiaden'!$F29)/(H$2-1))</f>
        <v/>
      </c>
      <c r="I29" s="5" t="str">
        <f aca="false">IF('Platzierungen alle Olympiaden'!$G29=0,"",(I$2-'Platzierungen alle Olympiaden'!$G29)/(I$2-1))</f>
        <v/>
      </c>
      <c r="J29" s="5" t="str">
        <f aca="false">IF('Platzierungen alle Olympiaden'!$H29=0,"",(J$2-'Platzierungen alle Olympiaden'!$H29)/(J$2-1))</f>
        <v/>
      </c>
      <c r="K29" s="5" t="n">
        <f aca="false">IF('Platzierungen alle Olympiaden'!$I29=0,"",(K$2-'Platzierungen alle Olympiaden'!$I29)/(K$2-1))</f>
        <v>0.571428571428571</v>
      </c>
      <c r="L29" s="5" t="str">
        <f aca="false">IF('Platzierungen alle Olympiaden'!$J29=0,"",(L$2-'Platzierungen alle Olympiaden'!$J29)/(L$2-1))</f>
        <v/>
      </c>
      <c r="M29" s="5" t="str">
        <f aca="false">IF('Platzierungen alle Olympiaden'!$K29=0,"",(M$2-'Platzierungen alle Olympiaden'!$K29)/(M$2-1))</f>
        <v/>
      </c>
      <c r="N29" s="5"/>
    </row>
    <row r="30" customFormat="false" ht="15.75" hidden="false" customHeight="true" outlineLevel="0" collapsed="false">
      <c r="B30" s="6" t="n">
        <v>27</v>
      </c>
      <c r="C30" s="6" t="str">
        <f aca="false">IF(ISNUMBER(Durchschnitt!$F30)=TRUE(),_xlfn.RANK.EQ(Durchschnitt!$F30,Durchschnitt!$F$4:$F$36,0),"")</f>
        <v/>
      </c>
      <c r="D30" s="6" t="s">
        <v>25</v>
      </c>
      <c r="E30" s="6" t="n">
        <f aca="false">COUNT(G30:M30)</f>
        <v>2</v>
      </c>
      <c r="F30" s="6" t="str">
        <f aca="false">IF(Durchschnitt!$E30&gt;=3,AVERAGE(G30:M30),"")</f>
        <v/>
      </c>
      <c r="G30" s="5" t="str">
        <f aca="false">IF('Platzierungen alle Olympiaden'!$E30=0,"",(G$2-'Platzierungen alle Olympiaden'!$E30)/(G$2-1))</f>
        <v/>
      </c>
      <c r="H30" s="5" t="str">
        <f aca="false">IF('Platzierungen alle Olympiaden'!$F30=0,"",(H$2-'Platzierungen alle Olympiaden'!$F30)/(H$2-1))</f>
        <v/>
      </c>
      <c r="I30" s="5" t="str">
        <f aca="false">IF('Platzierungen alle Olympiaden'!$G30=0,"",(I$2-'Platzierungen alle Olympiaden'!$G30)/(I$2-1))</f>
        <v/>
      </c>
      <c r="J30" s="5" t="n">
        <f aca="false">IF('Platzierungen alle Olympiaden'!$H30=0,"",(J$2-'Platzierungen alle Olympiaden'!$H30)/(J$2-1))</f>
        <v>0</v>
      </c>
      <c r="K30" s="5" t="str">
        <f aca="false">IF('Platzierungen alle Olympiaden'!$I30=0,"",(K$2-'Platzierungen alle Olympiaden'!$I30)/(K$2-1))</f>
        <v/>
      </c>
      <c r="L30" s="5" t="str">
        <f aca="false">IF('Platzierungen alle Olympiaden'!$J30=0,"",(L$2-'Platzierungen alle Olympiaden'!$J30)/(L$2-1))</f>
        <v/>
      </c>
      <c r="M30" s="5" t="n">
        <f aca="false">IF('Platzierungen alle Olympiaden'!$K30=0,"",(M$2-'Platzierungen alle Olympiaden'!$K30)/(M$2-1))</f>
        <v>0.428571428571429</v>
      </c>
      <c r="N30" s="5"/>
    </row>
    <row r="31" customFormat="false" ht="15.75" hidden="false" customHeight="true" outlineLevel="0" collapsed="false">
      <c r="B31" s="6" t="n">
        <v>28</v>
      </c>
      <c r="C31" s="6" t="str">
        <f aca="false">IF(ISNUMBER(Durchschnitt!$F31)=TRUE(),_xlfn.RANK.EQ(Durchschnitt!$F31,Durchschnitt!$F$4:$F$36,0),"")</f>
        <v/>
      </c>
      <c r="D31" s="6" t="s">
        <v>36</v>
      </c>
      <c r="E31" s="6" t="n">
        <f aca="false">COUNT(G31:M31)</f>
        <v>1</v>
      </c>
      <c r="F31" s="6" t="str">
        <f aca="false">IF(Durchschnitt!$E31&gt;=3,AVERAGE(G31:M31),"")</f>
        <v/>
      </c>
      <c r="G31" s="5" t="str">
        <f aca="false">IF('Platzierungen alle Olympiaden'!$E31=0,"",(G$2-'Platzierungen alle Olympiaden'!$E31)/(G$2-1))</f>
        <v/>
      </c>
      <c r="H31" s="5" t="str">
        <f aca="false">IF('Platzierungen alle Olympiaden'!$F31=0,"",(H$2-'Platzierungen alle Olympiaden'!$F31)/(H$2-1))</f>
        <v/>
      </c>
      <c r="I31" s="5" t="str">
        <f aca="false">IF('Platzierungen alle Olympiaden'!$G31=0,"",(I$2-'Platzierungen alle Olympiaden'!$G31)/(I$2-1))</f>
        <v/>
      </c>
      <c r="J31" s="5" t="str">
        <f aca="false">IF('Platzierungen alle Olympiaden'!$H31=0,"",(J$2-'Platzierungen alle Olympiaden'!$H31)/(J$2-1))</f>
        <v/>
      </c>
      <c r="K31" s="5" t="str">
        <f aca="false">IF('Platzierungen alle Olympiaden'!$I31=0,"",(K$2-'Platzierungen alle Olympiaden'!$I31)/(K$2-1))</f>
        <v/>
      </c>
      <c r="L31" s="5" t="n">
        <f aca="false">IF('Platzierungen alle Olympiaden'!$J31=0,"",(L$2-'Platzierungen alle Olympiaden'!$J31)/(L$2-1))</f>
        <v>0.125</v>
      </c>
      <c r="M31" s="5" t="str">
        <f aca="false">IF('Platzierungen alle Olympiaden'!$K31=0,"",(M$2-'Platzierungen alle Olympiaden'!$K31)/(M$2-1))</f>
        <v/>
      </c>
      <c r="N31" s="5"/>
    </row>
    <row r="32" customFormat="false" ht="15.75" hidden="false" customHeight="true" outlineLevel="0" collapsed="false">
      <c r="B32" s="6" t="n">
        <v>29</v>
      </c>
      <c r="C32" s="6" t="str">
        <f aca="false">IF(ISNUMBER(Durchschnitt!$F32)=TRUE(),_xlfn.RANK.EQ(Durchschnitt!$F32,Durchschnitt!$F$4:$F$36,0),"")</f>
        <v/>
      </c>
      <c r="D32" s="6" t="s">
        <v>37</v>
      </c>
      <c r="E32" s="6" t="n">
        <f aca="false">COUNT(G32:M32)</f>
        <v>1</v>
      </c>
      <c r="F32" s="6" t="str">
        <f aca="false">IF(Durchschnitt!$E32&gt;=3,AVERAGE(G32:M32),"")</f>
        <v/>
      </c>
      <c r="G32" s="5" t="str">
        <f aca="false">IF('Platzierungen alle Olympiaden'!$E32=0,"",(G$2-'Platzierungen alle Olympiaden'!$E32)/(G$2-1))</f>
        <v/>
      </c>
      <c r="H32" s="5" t="str">
        <f aca="false">IF('Platzierungen alle Olympiaden'!$F32=0,"",(H$2-'Platzierungen alle Olympiaden'!$F32)/(H$2-1))</f>
        <v/>
      </c>
      <c r="I32" s="5" t="str">
        <f aca="false">IF('Platzierungen alle Olympiaden'!$G32=0,"",(I$2-'Platzierungen alle Olympiaden'!$G32)/(I$2-1))</f>
        <v/>
      </c>
      <c r="J32" s="5" t="str">
        <f aca="false">IF('Platzierungen alle Olympiaden'!$H32=0,"",(J$2-'Platzierungen alle Olympiaden'!$H32)/(J$2-1))</f>
        <v/>
      </c>
      <c r="K32" s="5" t="str">
        <f aca="false">IF('Platzierungen alle Olympiaden'!$I32=0,"",(K$2-'Platzierungen alle Olympiaden'!$I32)/(K$2-1))</f>
        <v/>
      </c>
      <c r="L32" s="5" t="str">
        <f aca="false">IF('Platzierungen alle Olympiaden'!$J32=0,"",(L$2-'Platzierungen alle Olympiaden'!$J32)/(L$2-1))</f>
        <v/>
      </c>
      <c r="M32" s="5" t="n">
        <f aca="false">IF('Platzierungen alle Olympiaden'!$K32=0,"",(M$2-'Platzierungen alle Olympiaden'!$K32)/(M$2-1))</f>
        <v>0.142857142857143</v>
      </c>
      <c r="N32" s="5"/>
    </row>
    <row r="33" customFormat="false" ht="15.75" hidden="false" customHeight="true" outlineLevel="0" collapsed="false">
      <c r="B33" s="6" t="n">
        <v>30</v>
      </c>
      <c r="C33" s="6" t="str">
        <f aca="false">IF(ISNUMBER(Durchschnitt!$F33)=TRUE(),_xlfn.RANK.EQ(Durchschnitt!$F33,Durchschnitt!$F$4:$F$36,0),"")</f>
        <v/>
      </c>
      <c r="D33" s="6" t="s">
        <v>57</v>
      </c>
      <c r="E33" s="6" t="n">
        <f aca="false">COUNT(G33:M33)</f>
        <v>1</v>
      </c>
      <c r="F33" s="6" t="str">
        <f aca="false">IF(Durchschnitt!$E33&gt;=3,AVERAGE(G33:M33),"")</f>
        <v/>
      </c>
      <c r="G33" s="5" t="str">
        <f aca="false">IF('Platzierungen alle Olympiaden'!$E33=0,"",(G$2-'Platzierungen alle Olympiaden'!$E33)/(G$2-1))</f>
        <v/>
      </c>
      <c r="H33" s="5" t="str">
        <f aca="false">IF('Platzierungen alle Olympiaden'!$F33=0,"",(H$2-'Platzierungen alle Olympiaden'!$F33)/(H$2-1))</f>
        <v/>
      </c>
      <c r="I33" s="5" t="str">
        <f aca="false">IF('Platzierungen alle Olympiaden'!$G33=0,"",(I$2-'Platzierungen alle Olympiaden'!$G33)/(I$2-1))</f>
        <v/>
      </c>
      <c r="J33" s="5" t="str">
        <f aca="false">IF('Platzierungen alle Olympiaden'!$H33=0,"",(J$2-'Platzierungen alle Olympiaden'!$H33)/(J$2-1))</f>
        <v/>
      </c>
      <c r="K33" s="5" t="str">
        <f aca="false">IF('Platzierungen alle Olympiaden'!$I33=0,"",(K$2-'Platzierungen alle Olympiaden'!$I33)/(K$2-1))</f>
        <v/>
      </c>
      <c r="L33" s="5" t="n">
        <f aca="false">IF('Platzierungen alle Olympiaden'!$J33=0,"",(L$2-'Platzierungen alle Olympiaden'!$J33)/(L$2-1))</f>
        <v>0</v>
      </c>
      <c r="M33" s="5" t="str">
        <f aca="false">IF('Platzierungen alle Olympiaden'!$K33=0,"",(M$2-'Platzierungen alle Olympiaden'!$K33)/(M$2-1))</f>
        <v/>
      </c>
      <c r="N33" s="5"/>
    </row>
    <row r="34" customFormat="false" ht="15.75" hidden="false" customHeight="true" outlineLevel="0" collapsed="false">
      <c r="B34" s="6" t="n">
        <v>31</v>
      </c>
      <c r="C34" s="6" t="str">
        <f aca="false">IF(ISNUMBER(Durchschnitt!$F34)=TRUE(),_xlfn.RANK.EQ(Durchschnitt!$F34,Durchschnitt!$F$4:$F$36,0),"")</f>
        <v/>
      </c>
      <c r="D34" s="6" t="s">
        <v>38</v>
      </c>
      <c r="E34" s="6" t="n">
        <f aca="false">COUNT(G34:M34)</f>
        <v>1</v>
      </c>
      <c r="F34" s="6" t="str">
        <f aca="false">IF(Durchschnitt!$E34&gt;=3,AVERAGE(G34:M34),"")</f>
        <v/>
      </c>
      <c r="G34" s="5" t="str">
        <f aca="false">IF('Platzierungen alle Olympiaden'!$E34=0,"",(G$2-'Platzierungen alle Olympiaden'!$E34)/(G$2-1))</f>
        <v/>
      </c>
      <c r="H34" s="5" t="str">
        <f aca="false">IF('Platzierungen alle Olympiaden'!$F34=0,"",(H$2-'Platzierungen alle Olympiaden'!$F34)/(H$2-1))</f>
        <v/>
      </c>
      <c r="I34" s="5" t="str">
        <f aca="false">IF('Platzierungen alle Olympiaden'!$G34=0,"",(I$2-'Platzierungen alle Olympiaden'!$G34)/(I$2-1))</f>
        <v/>
      </c>
      <c r="J34" s="5" t="str">
        <f aca="false">IF('Platzierungen alle Olympiaden'!$H34=0,"",(J$2-'Platzierungen alle Olympiaden'!$H34)/(J$2-1))</f>
        <v/>
      </c>
      <c r="K34" s="5" t="str">
        <f aca="false">IF('Platzierungen alle Olympiaden'!$I34=0,"",(K$2-'Platzierungen alle Olympiaden'!$I34)/(K$2-1))</f>
        <v/>
      </c>
      <c r="L34" s="5" t="n">
        <f aca="false">IF('Platzierungen alle Olympiaden'!$J34=0,"",(L$2-'Platzierungen alle Olympiaden'!$J34)/(L$2-1))</f>
        <v>0</v>
      </c>
      <c r="M34" s="5" t="str">
        <f aca="false">IF('Platzierungen alle Olympiaden'!$K34=0,"",(M$2-'Platzierungen alle Olympiaden'!$K34)/(M$2-1))</f>
        <v/>
      </c>
      <c r="N34" s="5"/>
    </row>
    <row r="35" customFormat="false" ht="15.75" hidden="false" customHeight="true" outlineLevel="0" collapsed="false">
      <c r="B35" s="6" t="n">
        <v>32</v>
      </c>
      <c r="C35" s="6" t="str">
        <f aca="false">IF(ISNUMBER(Durchschnitt!$F35)=TRUE(),_xlfn.RANK.EQ(Durchschnitt!$F35,Durchschnitt!$F$4:$F$36,0),"")</f>
        <v/>
      </c>
      <c r="D35" s="6" t="s">
        <v>27</v>
      </c>
      <c r="E35" s="6" t="n">
        <f aca="false">COUNT(G35:M35)</f>
        <v>1</v>
      </c>
      <c r="F35" s="6" t="str">
        <f aca="false">IF(Durchschnitt!$E35&gt;=3,AVERAGE(G35:M35),"")</f>
        <v/>
      </c>
      <c r="G35" s="5" t="n">
        <f aca="false">IF('Platzierungen alle Olympiaden'!$E35=0,"",(G$2-'Platzierungen alle Olympiaden'!$E35)/(G$2-1))</f>
        <v>0</v>
      </c>
      <c r="H35" s="5" t="str">
        <f aca="false">IF('Platzierungen alle Olympiaden'!$F35=0,"",(H$2-'Platzierungen alle Olympiaden'!$F35)/(H$2-1))</f>
        <v/>
      </c>
      <c r="I35" s="5" t="str">
        <f aca="false">IF('Platzierungen alle Olympiaden'!$G35=0,"",(I$2-'Platzierungen alle Olympiaden'!$G35)/(I$2-1))</f>
        <v/>
      </c>
      <c r="J35" s="5" t="str">
        <f aca="false">IF('Platzierungen alle Olympiaden'!$H35=0,"",(J$2-'Platzierungen alle Olympiaden'!$H35)/(J$2-1))</f>
        <v/>
      </c>
      <c r="K35" s="5" t="str">
        <f aca="false">IF('Platzierungen alle Olympiaden'!$I35=0,"",(K$2-'Platzierungen alle Olympiaden'!$I35)/(K$2-1))</f>
        <v/>
      </c>
      <c r="L35" s="5" t="str">
        <f aca="false">IF('Platzierungen alle Olympiaden'!$J35=0,"",(L$2-'Platzierungen alle Olympiaden'!$J35)/(L$2-1))</f>
        <v/>
      </c>
      <c r="M35" s="5" t="str">
        <f aca="false">IF('Platzierungen alle Olympiaden'!$K35=0,"",(M$2-'Platzierungen alle Olympiaden'!$K35)/(M$2-1))</f>
        <v/>
      </c>
      <c r="N35" s="5"/>
    </row>
    <row r="36" customFormat="false" ht="15.75" hidden="false" customHeight="true" outlineLevel="0" collapsed="false">
      <c r="B36" s="6" t="n">
        <v>33</v>
      </c>
      <c r="C36" s="6" t="str">
        <f aca="false">IF(ISNUMBER(Durchschnitt!$F36)=TRUE(),_xlfn.RANK.EQ(Durchschnitt!$F36,Durchschnitt!$F$4:$F$36,0),"")</f>
        <v/>
      </c>
      <c r="D36" s="6" t="s">
        <v>40</v>
      </c>
      <c r="E36" s="6" t="n">
        <f aca="false">COUNT(G36:M36)</f>
        <v>1</v>
      </c>
      <c r="F36" s="6" t="str">
        <f aca="false">IF(Durchschnitt!$E36&gt;=3,AVERAGE(G36:M36),"")</f>
        <v/>
      </c>
      <c r="G36" s="5" t="str">
        <f aca="false">IF('Platzierungen alle Olympiaden'!$E36=0,"",(G$2-'Platzierungen alle Olympiaden'!$E36)/(G$2-1))</f>
        <v/>
      </c>
      <c r="H36" s="5" t="str">
        <f aca="false">IF('Platzierungen alle Olympiaden'!$F36=0,"",(H$2-'Platzierungen alle Olympiaden'!$F36)/(H$2-1))</f>
        <v/>
      </c>
      <c r="I36" s="5" t="str">
        <f aca="false">IF('Platzierungen alle Olympiaden'!$G36=0,"",(I$2-'Platzierungen alle Olympiaden'!$G36)/(I$2-1))</f>
        <v/>
      </c>
      <c r="J36" s="5" t="str">
        <f aca="false">IF('Platzierungen alle Olympiaden'!$H36=0,"",(J$2-'Platzierungen alle Olympiaden'!$H36)/(J$2-1))</f>
        <v/>
      </c>
      <c r="K36" s="5" t="n">
        <f aca="false">IF('Platzierungen alle Olympiaden'!$I36=0,"",(K$2-'Platzierungen alle Olympiaden'!$I36)/(K$2-1))</f>
        <v>0</v>
      </c>
      <c r="L36" s="5" t="str">
        <f aca="false">IF('Platzierungen alle Olympiaden'!$J36=0,"",(L$2-'Platzierungen alle Olympiaden'!$J36)/(L$2-1))</f>
        <v/>
      </c>
      <c r="M36" s="5" t="str">
        <f aca="false">IF('Platzierungen alle Olympiaden'!$K36=0,"",(M$2-'Platzierungen alle Olympiaden'!$K36)/(M$2-1))</f>
        <v/>
      </c>
      <c r="N36" s="5"/>
    </row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12.63671875" defaultRowHeight="15" customHeight="true" zeroHeight="false" outlineLevelRow="0" outlineLevelCol="0"/>
  <cols>
    <col collapsed="false" customWidth="true" hidden="false" outlineLevel="0" max="2" min="1" style="1" width="16.12"/>
    <col collapsed="false" customWidth="true" hidden="false" outlineLevel="0" max="5" min="3" style="1" width="15.63"/>
    <col collapsed="false" customWidth="true" hidden="false" outlineLevel="0" max="6" min="6" style="1" width="17.63"/>
    <col collapsed="false" customWidth="true" hidden="false" outlineLevel="0" max="9" min="7" style="1" width="15.63"/>
    <col collapsed="false" customWidth="true" hidden="false" outlineLevel="0" max="10" min="10" style="1" width="17.13"/>
    <col collapsed="false" customWidth="true" hidden="false" outlineLevel="0" max="21" min="11" style="1" width="15.63"/>
    <col collapsed="false" customWidth="true" hidden="false" outlineLevel="0" max="22" min="22" style="1" width="15.75"/>
    <col collapsed="false" customWidth="true" hidden="false" outlineLevel="0" max="23" min="23" style="1" width="14.38"/>
    <col collapsed="false" customWidth="true" hidden="false" outlineLevel="0" max="24" min="24" style="1" width="26.25"/>
    <col collapsed="false" customWidth="true" hidden="false" outlineLevel="0" max="26" min="25" style="1" width="7.75"/>
  </cols>
  <sheetData>
    <row r="1" customFormat="false" ht="15" hidden="false" customHeight="false" outlineLevel="0" collapsed="false">
      <c r="A1" s="7" t="s">
        <v>0</v>
      </c>
      <c r="B1" s="7" t="s">
        <v>1</v>
      </c>
      <c r="C1" s="8" t="s">
        <v>58</v>
      </c>
      <c r="D1" s="8" t="s">
        <v>59</v>
      </c>
      <c r="E1" s="8" t="s">
        <v>60</v>
      </c>
      <c r="F1" s="8" t="s">
        <v>61</v>
      </c>
      <c r="G1" s="8" t="s">
        <v>62</v>
      </c>
      <c r="H1" s="8" t="s">
        <v>63</v>
      </c>
      <c r="I1" s="8" t="s">
        <v>64</v>
      </c>
      <c r="J1" s="8" t="s">
        <v>65</v>
      </c>
      <c r="K1" s="8" t="s">
        <v>66</v>
      </c>
      <c r="L1" s="8" t="s">
        <v>67</v>
      </c>
      <c r="M1" s="8" t="s">
        <v>68</v>
      </c>
      <c r="N1" s="8" t="s">
        <v>69</v>
      </c>
      <c r="O1" s="8" t="s">
        <v>70</v>
      </c>
      <c r="P1" s="8" t="s">
        <v>71</v>
      </c>
      <c r="Q1" s="8" t="s">
        <v>72</v>
      </c>
      <c r="R1" s="8" t="s">
        <v>73</v>
      </c>
      <c r="S1" s="8" t="s">
        <v>74</v>
      </c>
      <c r="T1" s="8" t="s">
        <v>75</v>
      </c>
      <c r="U1" s="8" t="s">
        <v>76</v>
      </c>
      <c r="V1" s="8" t="s">
        <v>77</v>
      </c>
      <c r="W1" s="8" t="s">
        <v>5</v>
      </c>
      <c r="X1" s="8" t="s">
        <v>78</v>
      </c>
    </row>
    <row r="2" customFormat="false" ht="15" hidden="false" customHeight="false" outlineLevel="0" collapsed="false">
      <c r="A2" s="5" t="n">
        <v>2</v>
      </c>
      <c r="B2" s="5" t="s">
        <v>7</v>
      </c>
      <c r="C2" s="5" t="n">
        <f aca="false">COUNTIFS(Olympiade_1!$B:$B,$B2,Olympiade_1!$F:$F,1)+COUNTIFS(Olympiade_2!$B:$B,$B2,Olympiade_2!$F:$F,1)+COUNTIFS(Olympiade_3!$B:$B,$B2,Olympiade_3!$F:$F,1)+COUNTIFS(Olympiade_4!$B:$B,$B2,Olympiade_4!$F:$F,1)+COUNTIFS(Olympiade_5!$B:$B,$B2,Olympiade_5!$F:$F,1)+COUNTIFS(Olympiade_6!$B:$B,$B2,Olympiade_6!$F:$F,1)+COUNTIFS(Olympiade_7!$B:$B,$B2,Olympiade_7!$F:$F,1)+COUNTIFS(Olympiade_8!$B:$B,$B2,Olympiade_8!$F:$F,1)</f>
        <v>3</v>
      </c>
      <c r="D2" s="5" t="n">
        <f aca="false">COUNTIFS(Olympiade_1!$B:$B, $B2, Olympiade_1!$F:$F,2)+COUNTIFS(Olympiade_2!$B:$B, $B2, Olympiade_2!$F:$F,2)+COUNTIFS(Olympiade_3!$B:$B, $B2, Olympiade_3!$F:$F,2)+COUNTIFS(Olympiade_4!$B:$B, $B2, Olympiade_4!$F:$F,2)+COUNTIFS(Olympiade_5!$B:$B, $B2, Olympiade_5!$F:$F,2)+COUNTIFS(Olympiade_6!$B:$B, $B2, Olympiade_6!$F:$F,2)+COUNTIFS(Olympiade_7!$B:$B, $B2, Olympiade_7!$F:$F,2)+COUNTIFS(Olympiade_8!$B:$B, $B2, Olympiade_8!$F:$F,2)</f>
        <v>1</v>
      </c>
      <c r="E2" s="5" t="n">
        <f aca="false">COUNTIFS(Olympiade_1!$B:$B, $B2, Olympiade_1!$F:$F,3)+COUNTIFS(Olympiade_2!$B:$B, $B2, Olympiade_2!$F:$F,3)+COUNTIFS(Olympiade_3!$B:$B, $B2, Olympiade_3!$F:$F,3)+COUNTIFS(Olympiade_4!$B:$B, $B2, Olympiade_4!$F:$F,3)+COUNTIFS(Olympiade_5!$B:$B, $B2, Olympiade_5!$F:$F,3)+COUNTIFS(Olympiade_6!$B:$B, $B2, Olympiade_6!$F:$F,3)+COUNTIFS(Olympiade_7!$B:$B, $B2, Olympiade_7!$F:$F,3)+COUNTIFS(Olympiade_8!$B:$B, $B2, Olympiade_8!$F:$F,3)</f>
        <v>0</v>
      </c>
      <c r="F2" s="5" t="n">
        <f aca="false">SUM(C2,D2,E2)</f>
        <v>4</v>
      </c>
      <c r="G2" s="5" t="n">
        <f aca="false">COUNTIFS(Olympiade_1!$B:$B, $B2, Olympiade_1!$G:$G,1)+COUNTIFS(Olympiade_2!$B:$B, $B2, Olympiade_2!$G:$G,1)+COUNTIFS(Olympiade_3!$B:$B, $B2, Olympiade_3!$G:$G,1)+COUNTIFS(Olympiade_4!$B:$B, $B2, Olympiade_4!$G:$G,1)+COUNTIFS(Olympiade_5!$B:$B, $B2, Olympiade_5!$G:$G,1)+COUNTIFS(Olympiade_6!$B:$B, $B2, Olympiade_6!$G:$G,1)+COUNTIFS(Olympiade_7!$B:$B, $B2, Olympiade_7!$G:$G,1)+COUNTIFS(Olympiade_8!$B:$B, $B2, Olympiade_8!$G:$G,1)</f>
        <v>2</v>
      </c>
      <c r="H2" s="5" t="n">
        <f aca="false">COUNTIFS(Olympiade_1!$B:$B, $B2, Olympiade_1!$G:$G,2)+COUNTIFS(Olympiade_2!$B:$B, $B2, Olympiade_2!$G:$G,2)+COUNTIFS(Olympiade_3!$B:$B, $B2, Olympiade_3!$G:$G,2)+COUNTIFS(Olympiade_4!$B:$B, $B2, Olympiade_4!$G:$G,2)+COUNTIFS(Olympiade_5!$B:$B, $B2, Olympiade_5!$G:$G,2)+COUNTIFS(Olympiade_6!$B:$B, $B2, Olympiade_6!$G:$G,2)+COUNTIFS(Olympiade_7!$B:$B, $B2, Olympiade_7!$G:$G,2)+COUNTIFS(Olympiade_8!$B:$B, $B2, Olympiade_8!$G:$G,2)</f>
        <v>2</v>
      </c>
      <c r="I2" s="5" t="n">
        <f aca="false">COUNTIFS(Olympiade_1!$B:$B, $B2, Olympiade_1!$G:$G,3)+COUNTIFS(Olympiade_2!$B:$B, $B2, Olympiade_2!$G:$G,3)+COUNTIFS(Olympiade_3!$B:$B, $B2, Olympiade_3!$G:$G,3)+COUNTIFS(Olympiade_4!$B:$B, $B2, Olympiade_4!$G:$G,3)+COUNTIFS(Olympiade_5!$B:$B, $B2, Olympiade_5!$G:$G,3)+COUNTIFS(Olympiade_6!$B:$B, $B2, Olympiade_6!$G:$G,3)+COUNTIFS(Olympiade_7!$B:$B, $B2, Olympiade_7!$G:$G,3)+COUNTIFS(Olympiade_8!$B:$B, $B2, Olympiade_8!$G:$G,3)</f>
        <v>2</v>
      </c>
      <c r="J2" s="5" t="n">
        <f aca="false">SUM(G2,H2,I2)</f>
        <v>6</v>
      </c>
      <c r="K2" s="5" t="n">
        <f aca="false">COUNTIFS(Olympiade_1!$B:$B, $B2, Olympiade_1!$H:$H,1)+COUNTIFS(Olympiade_2!$B:$B, $B2, Olympiade_2!$H:$H,1)+COUNTIFS(Olympiade_3!$B:$B, $B2, Olympiade_3!$H:$H,1)+COUNTIFS(Olympiade_4!$B:$B, $B2, Olympiade_4!$H:$H,1)+COUNTIFS(Olympiade_5!$B:$B, $B2, Olympiade_5!$H:$H,1)+COUNTIFS(Olympiade_6!$B:$B, $B2, Olympiade_6!$H:$H,1)+COUNTIFS(Olympiade_7!$B:$B, $B2, Olympiade_7!$H:$H,1)+COUNTIFS(Olympiade_8!$B:$B, $B2, Olympiade_8!$H:$H,1)</f>
        <v>2</v>
      </c>
      <c r="L2" s="5" t="n">
        <f aca="false">COUNTIFS(Olympiade_1!$B:$B, $B2, Olympiade_1!$H:$H,2)+COUNTIFS(Olympiade_2!$B:$B, $B2, Olympiade_2!$H:$H,2)+COUNTIFS(Olympiade_3!$B:$B, $B2, Olympiade_3!$H:$H,2)+COUNTIFS(Olympiade_4!$B:$B, $B2, Olympiade_4!$H:$H,2)+COUNTIFS(Olympiade_5!$B:$B, $B2, Olympiade_5!$H:$H,2)+COUNTIFS(Olympiade_6!$B:$B, $B2, Olympiade_6!$H:$H,2)+COUNTIFS(Olympiade_7!$B:$B, $B2, Olympiade_7!$H:$H,2)+COUNTIFS(Olympiade_8!$B:$B, $B2, Olympiade_8!$H:$H,2)</f>
        <v>1</v>
      </c>
      <c r="M2" s="5" t="n">
        <f aca="false">COUNTIFS(Olympiade_1!$B:$B, $B2, Olympiade_1!$H:$H,3)+COUNTIFS(Olympiade_2!$B:$B, $B2, Olympiade_2!$H:$H,3)+COUNTIFS(Olympiade_3!$B:$B, $B2, Olympiade_3!$H:$H,3)+COUNTIFS(Olympiade_4!$B:$B, $B2, Olympiade_4!$H:$H,3)+COUNTIFS(Olympiade_5!$B:$B, $B2, Olympiade_5!$H:$H,3)+COUNTIFS(Olympiade_6!$B:$B, $B2, Olympiade_6!$H:$H,3)+COUNTIFS(Olympiade_7!$B:$B, $B2, Olympiade_7!$H:$H,3)+COUNTIFS(Olympiade_8!$B:$B, $B2, Olympiade_8!$H:$H,3)</f>
        <v>1</v>
      </c>
      <c r="N2" s="5" t="n">
        <f aca="false">SUM(K2,L2,M2)</f>
        <v>4</v>
      </c>
      <c r="O2" s="5" t="n">
        <f aca="false">COUNTIFS(Olympiade_1!$B:$B, $B2, Olympiade_1!$A:$A,1)+COUNTIFS(Olympiade_2!$B:$B, $B2, Olympiade_2!$A:$A,1)+COUNTIFS(Olympiade_3!$B:$B, $B2, Olympiade_3!$A:$A,1)+COUNTIFS(Olympiade_4!$B:$B, $B2, Olympiade_4!$A:$A,1)+COUNTIFS(Olympiade_5!$B:$B, $B2, Olympiade_5!$A:$A,1)+COUNTIFS(Olympiade_6!$B:$B, $B2, Olympiade_6!$A:$A,1)+COUNTIFS(Olympiade_7!$B:$B, $B2, Olympiade_7!$A:$A,1)+COUNTIFS(Olympiade_8!$B:$B, $B2, Olympiade_8!$A:$A,1)</f>
        <v>4</v>
      </c>
      <c r="P2" s="5" t="n">
        <f aca="false">COUNTIFS(Olympiade_1!$B:$B, $B2, Olympiade_1!$A:$A,2)+COUNTIFS(Olympiade_2!$B:$B, $B2, Olympiade_2!$A:$A,2)+COUNTIFS(Olympiade_3!$B:$B, $B2, Olympiade_3!$A:$A,2)+COUNTIFS(Olympiade_4!$B:$B, $B2, Olympiade_4!$A:$A,2)+COUNTIFS(Olympiade_5!$B:$B, $B2, Olympiade_5!$A:$A,2)+COUNTIFS(Olympiade_6!$B:$B, $B2, Olympiade_6!$A:$A,2)+COUNTIFS(Olympiade_7!$B:$B, $B2, Olympiade_7!$A:$A,2)+COUNTIFS(Olympiade_8!$B:$B, $B2, Olympiade_8!$A:$A,2)</f>
        <v>1</v>
      </c>
      <c r="Q2" s="5" t="n">
        <f aca="false">COUNTIFS(Olympiade_1!$B:$B, $B2, Olympiade_1!$A:$A,3)+COUNTIFS(Olympiade_2!$B:$B, $B2, Olympiade_2!$A:$A,3)+COUNTIFS(Olympiade_3!$B:$B, $B2, Olympiade_3!$A:$A,3)+COUNTIFS(Olympiade_4!$B:$B, $B2, Olympiade_4!$A:$A,3)+COUNTIFS(Olympiade_5!$B:$B, $B2, Olympiade_5!$A:$A,3)+COUNTIFS(Olympiade_6!$B:$B, $B2, Olympiade_6!$A:$A,3)+COUNTIFS(Olympiade_7!$B:$B, $B2, Olympiade_7!$A:$A,3)+COUNTIFS(Olympiade_8!$B:$B, $B2, Olympiade_8!$A:$A,3)</f>
        <v>0</v>
      </c>
      <c r="R2" s="5" t="n">
        <f aca="false">SUM(O2,P2,Q2)</f>
        <v>5</v>
      </c>
      <c r="S2" s="5" t="n">
        <f aca="false">SUM(C2,G2,K2,O2)</f>
        <v>11</v>
      </c>
      <c r="T2" s="5" t="n">
        <f aca="false">SUM(D2,H2,L2,P2)</f>
        <v>5</v>
      </c>
      <c r="U2" s="5" t="n">
        <f aca="false">SUM(E2,I2,M2,Q2)</f>
        <v>3</v>
      </c>
      <c r="V2" s="5" t="n">
        <f aca="false">SUM(S2,T2,U2)</f>
        <v>19</v>
      </c>
      <c r="W2" s="5" t="n">
        <f aca="false">SUMIFS(Database!B:B,Database!A:A,B2) + SUMIFS(Database!F:F,Database!A:A,B2)</f>
        <v>340</v>
      </c>
      <c r="X2" s="5" t="e">
        <f aca="false" t="array" ref="X2:X2">AVERAGE(xlookup(B2, Database!K:K, Database!L:N,NA()))</f>
        <v>#N/A</v>
      </c>
    </row>
    <row r="3" customFormat="false" ht="15" hidden="false" customHeight="false" outlineLevel="0" collapsed="false">
      <c r="A3" s="5" t="n">
        <v>6</v>
      </c>
      <c r="B3" s="5" t="s">
        <v>11</v>
      </c>
      <c r="C3" s="5" t="n">
        <f aca="false">COUNTIFS(Olympiade_1!$B:$B,$B3,Olympiade_1!$F:$F,1)+COUNTIFS(Olympiade_2!$B:$B,$B3,Olympiade_2!$F:$F,1)+COUNTIFS(Olympiade_3!$B:$B,$B3,Olympiade_3!$F:$F,1)+COUNTIFS(Olympiade_4!$B:$B,$B3,Olympiade_4!$F:$F,1)+COUNTIFS(Olympiade_5!$B:$B,$B3,Olympiade_5!$F:$F,1)+COUNTIFS(Olympiade_6!$B:$B,$B3,Olympiade_6!$F:$F,1)+COUNTIFS(Olympiade_7!$B:$B,$B3,Olympiade_7!$F:$F,1)+COUNTIFS(Olympiade_8!$B:$B,$B3,Olympiade_8!$F:$F,1)</f>
        <v>3</v>
      </c>
      <c r="D3" s="5" t="n">
        <f aca="false">COUNTIFS(Olympiade_1!$B:$B, $B3, Olympiade_1!$F:$F,2)+COUNTIFS(Olympiade_2!$B:$B, $B3, Olympiade_2!$F:$F,2)+COUNTIFS(Olympiade_3!$B:$B, $B3, Olympiade_3!$F:$F,2)+COUNTIFS(Olympiade_4!$B:$B, $B3, Olympiade_4!$F:$F,2)+COUNTIFS(Olympiade_5!$B:$B, $B3, Olympiade_5!$F:$F,2)+COUNTIFS(Olympiade_6!$B:$B, $B3, Olympiade_6!$F:$F,2)+COUNTIFS(Olympiade_7!$B:$B, $B3, Olympiade_7!$F:$F,2)+COUNTIFS(Olympiade_8!$B:$B, $B3, Olympiade_8!$F:$F,2)</f>
        <v>0</v>
      </c>
      <c r="E3" s="5" t="n">
        <f aca="false">COUNTIFS(Olympiade_1!$B:$B, $B3, Olympiade_1!$F:$F,3)+COUNTIFS(Olympiade_2!$B:$B, $B3, Olympiade_2!$F:$F,3)+COUNTIFS(Olympiade_3!$B:$B, $B3, Olympiade_3!$F:$F,3)+COUNTIFS(Olympiade_4!$B:$B, $B3, Olympiade_4!$F:$F,3)+COUNTIFS(Olympiade_5!$B:$B, $B3, Olympiade_5!$F:$F,3)+COUNTIFS(Olympiade_6!$B:$B, $B3, Olympiade_6!$F:$F,3)+COUNTIFS(Olympiade_7!$B:$B, $B3, Olympiade_7!$F:$F,3)+COUNTIFS(Olympiade_8!$B:$B, $B3, Olympiade_8!$F:$F,3)</f>
        <v>0</v>
      </c>
      <c r="F3" s="5" t="n">
        <f aca="false">SUM(C3,D3,E3)</f>
        <v>3</v>
      </c>
      <c r="G3" s="5" t="n">
        <f aca="false">COUNTIFS(Olympiade_1!$B:$B, $B3, Olympiade_1!$G:$G,1)+COUNTIFS(Olympiade_2!$B:$B, $B3, Olympiade_2!$G:$G,1)+COUNTIFS(Olympiade_3!$B:$B, $B3, Olympiade_3!$G:$G,1)+COUNTIFS(Olympiade_4!$B:$B, $B3, Olympiade_4!$G:$G,1)+COUNTIFS(Olympiade_5!$B:$B, $B3, Olympiade_5!$G:$G,1)+COUNTIFS(Olympiade_6!$B:$B, $B3, Olympiade_6!$G:$G,1)+COUNTIFS(Olympiade_7!$B:$B, $B3, Olympiade_7!$G:$G,1)+COUNTIFS(Olympiade_8!$B:$B, $B3, Olympiade_8!$G:$G,1)</f>
        <v>1</v>
      </c>
      <c r="H3" s="5" t="n">
        <f aca="false">COUNTIFS(Olympiade_1!$B:$B, $B3, Olympiade_1!$G:$G,2)+COUNTIFS(Olympiade_2!$B:$B, $B3, Olympiade_2!$G:$G,2)+COUNTIFS(Olympiade_3!$B:$B, $B3, Olympiade_3!$G:$G,2)+COUNTIFS(Olympiade_4!$B:$B, $B3, Olympiade_4!$G:$G,2)+COUNTIFS(Olympiade_5!$B:$B, $B3, Olympiade_5!$G:$G,2)+COUNTIFS(Olympiade_6!$B:$B, $B3, Olympiade_6!$G:$G,2)+COUNTIFS(Olympiade_7!$B:$B, $B3, Olympiade_7!$G:$G,2)+COUNTIFS(Olympiade_8!$B:$B, $B3, Olympiade_8!$G:$G,2)</f>
        <v>2</v>
      </c>
      <c r="I3" s="5" t="n">
        <f aca="false">COUNTIFS(Olympiade_1!$B:$B, $B3, Olympiade_1!$G:$G,3)+COUNTIFS(Olympiade_2!$B:$B, $B3, Olympiade_2!$G:$G,3)+COUNTIFS(Olympiade_3!$B:$B, $B3, Olympiade_3!$G:$G,3)+COUNTIFS(Olympiade_4!$B:$B, $B3, Olympiade_4!$G:$G,3)+COUNTIFS(Olympiade_5!$B:$B, $B3, Olympiade_5!$G:$G,3)+COUNTIFS(Olympiade_6!$B:$B, $B3, Olympiade_6!$G:$G,3)+COUNTIFS(Olympiade_7!$B:$B, $B3, Olympiade_7!$G:$G,3)+COUNTIFS(Olympiade_8!$B:$B, $B3, Olympiade_8!$G:$G,3)</f>
        <v>1</v>
      </c>
      <c r="J3" s="5" t="n">
        <f aca="false">SUM(G3,H3,I3)</f>
        <v>4</v>
      </c>
      <c r="K3" s="5" t="n">
        <f aca="false">COUNTIFS(Olympiade_1!$B:$B, $B3, Olympiade_1!$H:$H,1)+COUNTIFS(Olympiade_2!$B:$B, $B3, Olympiade_2!$H:$H,1)+COUNTIFS(Olympiade_3!$B:$B, $B3, Olympiade_3!$H:$H,1)+COUNTIFS(Olympiade_4!$B:$B, $B3, Olympiade_4!$H:$H,1)+COUNTIFS(Olympiade_5!$B:$B, $B3, Olympiade_5!$H:$H,1)+COUNTIFS(Olympiade_6!$B:$B, $B3, Olympiade_6!$H:$H,1)+COUNTIFS(Olympiade_7!$B:$B, $B3, Olympiade_7!$H:$H,1)+COUNTIFS(Olympiade_8!$B:$B, $B3, Olympiade_8!$H:$H,1)</f>
        <v>1</v>
      </c>
      <c r="L3" s="5" t="n">
        <f aca="false">COUNTIFS(Olympiade_1!$B:$B, $B3, Olympiade_1!$H:$H,2)+COUNTIFS(Olympiade_2!$B:$B, $B3, Olympiade_2!$H:$H,2)+COUNTIFS(Olympiade_3!$B:$B, $B3, Olympiade_3!$H:$H,2)+COUNTIFS(Olympiade_4!$B:$B, $B3, Olympiade_4!$H:$H,2)+COUNTIFS(Olympiade_5!$B:$B, $B3, Olympiade_5!$H:$H,2)+COUNTIFS(Olympiade_6!$B:$B, $B3, Olympiade_6!$H:$H,2)+COUNTIFS(Olympiade_7!$B:$B, $B3, Olympiade_7!$H:$H,2)+COUNTIFS(Olympiade_8!$B:$B, $B3, Olympiade_8!$H:$H,2)</f>
        <v>3</v>
      </c>
      <c r="M3" s="5" t="n">
        <f aca="false">COUNTIFS(Olympiade_1!$B:$B, $B3, Olympiade_1!$H:$H,3)+COUNTIFS(Olympiade_2!$B:$B, $B3, Olympiade_2!$H:$H,3)+COUNTIFS(Olympiade_3!$B:$B, $B3, Olympiade_3!$H:$H,3)+COUNTIFS(Olympiade_4!$B:$B, $B3, Olympiade_4!$H:$H,3)+COUNTIFS(Olympiade_5!$B:$B, $B3, Olympiade_5!$H:$H,3)+COUNTIFS(Olympiade_6!$B:$B, $B3, Olympiade_6!$H:$H,3)+COUNTIFS(Olympiade_7!$B:$B, $B3, Olympiade_7!$H:$H,3)+COUNTIFS(Olympiade_8!$B:$B, $B3, Olympiade_8!$H:$H,3)</f>
        <v>0</v>
      </c>
      <c r="N3" s="5" t="n">
        <f aca="false">SUM(K3,L3,M3)</f>
        <v>4</v>
      </c>
      <c r="O3" s="5" t="n">
        <f aca="false">COUNTIFS(Olympiade_1!$B:$B, $B3, Olympiade_1!$A:$A,1)+COUNTIFS(Olympiade_2!$B:$B, $B3, Olympiade_2!$A:$A,1)+COUNTIFS(Olympiade_3!$B:$B, $B3, Olympiade_3!$A:$A,1)+COUNTIFS(Olympiade_4!$B:$B, $B3, Olympiade_4!$A:$A,1)+COUNTIFS(Olympiade_5!$B:$B, $B3, Olympiade_5!$A:$A,1)+COUNTIFS(Olympiade_6!$B:$B, $B3, Olympiade_6!$A:$A,1)+COUNTIFS(Olympiade_7!$B:$B, $B3, Olympiade_7!$A:$A,1)+COUNTIFS(Olympiade_8!$B:$B, $B3, Olympiade_8!$A:$A,1)</f>
        <v>2</v>
      </c>
      <c r="P3" s="5" t="n">
        <f aca="false">COUNTIFS(Olympiade_1!$B:$B, $B3, Olympiade_1!$A:$A,2)+COUNTIFS(Olympiade_2!$B:$B, $B3, Olympiade_2!$A:$A,2)+COUNTIFS(Olympiade_3!$B:$B, $B3, Olympiade_3!$A:$A,2)+COUNTIFS(Olympiade_4!$B:$B, $B3, Olympiade_4!$A:$A,2)+COUNTIFS(Olympiade_5!$B:$B, $B3, Olympiade_5!$A:$A,2)+COUNTIFS(Olympiade_6!$B:$B, $B3, Olympiade_6!$A:$A,2)+COUNTIFS(Olympiade_7!$B:$B, $B3, Olympiade_7!$A:$A,2)+COUNTIFS(Olympiade_8!$B:$B, $B3, Olympiade_8!$A:$A,2)</f>
        <v>1</v>
      </c>
      <c r="Q3" s="5" t="n">
        <f aca="false">COUNTIFS(Olympiade_1!$B:$B, $B3, Olympiade_1!$A:$A,3)+COUNTIFS(Olympiade_2!$B:$B, $B3, Olympiade_2!$A:$A,3)+COUNTIFS(Olympiade_3!$B:$B, $B3, Olympiade_3!$A:$A,3)+COUNTIFS(Olympiade_4!$B:$B, $B3, Olympiade_4!$A:$A,3)+COUNTIFS(Olympiade_5!$B:$B, $B3, Olympiade_5!$A:$A,3)+COUNTIFS(Olympiade_6!$B:$B, $B3, Olympiade_6!$A:$A,3)+COUNTIFS(Olympiade_7!$B:$B, $B3, Olympiade_7!$A:$A,3)+COUNTIFS(Olympiade_8!$B:$B, $B3, Olympiade_8!$A:$A,3)</f>
        <v>1</v>
      </c>
      <c r="R3" s="5" t="n">
        <f aca="false">SUM(O3,P3,Q3)</f>
        <v>4</v>
      </c>
      <c r="S3" s="5" t="n">
        <f aca="false">SUM(C3,G3,K3,O3)</f>
        <v>7</v>
      </c>
      <c r="T3" s="5" t="n">
        <f aca="false">SUM(D3,H3,L3,P3)</f>
        <v>6</v>
      </c>
      <c r="U3" s="5" t="n">
        <f aca="false">SUM(E3,I3,M3,Q3)</f>
        <v>2</v>
      </c>
      <c r="V3" s="5" t="n">
        <f aca="false">SUM(S3,T3,U3)</f>
        <v>15</v>
      </c>
      <c r="W3" s="5" t="n">
        <f aca="false">SUMIFS(Database!B:B,Database!A:A,B3) + SUMIFS(Database!F:F,Database!A:A,B3)</f>
        <v>240</v>
      </c>
      <c r="X3" s="5" t="e">
        <f aca="false" t="array" ref="X3:X3">AVERAGE(xlookup(B3, Database!K:K, Database!L:N,NA()))</f>
        <v>#N/A</v>
      </c>
    </row>
    <row r="4" customFormat="false" ht="15" hidden="false" customHeight="false" outlineLevel="0" collapsed="false">
      <c r="A4" s="5" t="n">
        <v>5</v>
      </c>
      <c r="B4" s="5" t="s">
        <v>10</v>
      </c>
      <c r="C4" s="5" t="n">
        <f aca="false">COUNTIFS(Olympiade_1!$B:$B,$B4,Olympiade_1!$F:$F,1)+COUNTIFS(Olympiade_2!$B:$B,$B4,Olympiade_2!$F:$F,1)+COUNTIFS(Olympiade_3!$B:$B,$B4,Olympiade_3!$F:$F,1)+COUNTIFS(Olympiade_4!$B:$B,$B4,Olympiade_4!$F:$F,1)+COUNTIFS(Olympiade_5!$B:$B,$B4,Olympiade_5!$F:$F,1)+COUNTIFS(Olympiade_6!$B:$B,$B4,Olympiade_6!$F:$F,1)+COUNTIFS(Olympiade_7!$B:$B,$B4,Olympiade_7!$F:$F,1)+COUNTIFS(Olympiade_8!$B:$B,$B4,Olympiade_8!$F:$F,1)</f>
        <v>2</v>
      </c>
      <c r="D4" s="5" t="n">
        <f aca="false">COUNTIFS(Olympiade_1!$B:$B, $B4, Olympiade_1!$F:$F,2)+COUNTIFS(Olympiade_2!$B:$B, $B4, Olympiade_2!$F:$F,2)+COUNTIFS(Olympiade_3!$B:$B, $B4, Olympiade_3!$F:$F,2)+COUNTIFS(Olympiade_4!$B:$B, $B4, Olympiade_4!$F:$F,2)+COUNTIFS(Olympiade_5!$B:$B, $B4, Olympiade_5!$F:$F,2)+COUNTIFS(Olympiade_6!$B:$B, $B4, Olympiade_6!$F:$F,2)+COUNTIFS(Olympiade_7!$B:$B, $B4, Olympiade_7!$F:$F,2)+COUNTIFS(Olympiade_8!$B:$B, $B4, Olympiade_8!$F:$F,2)</f>
        <v>1</v>
      </c>
      <c r="E4" s="5" t="n">
        <f aca="false">COUNTIFS(Olympiade_1!$B:$B, $B4, Olympiade_1!$F:$F,3)+COUNTIFS(Olympiade_2!$B:$B, $B4, Olympiade_2!$F:$F,3)+COUNTIFS(Olympiade_3!$B:$B, $B4, Olympiade_3!$F:$F,3)+COUNTIFS(Olympiade_4!$B:$B, $B4, Olympiade_4!$F:$F,3)+COUNTIFS(Olympiade_5!$B:$B, $B4, Olympiade_5!$F:$F,3)+COUNTIFS(Olympiade_6!$B:$B, $B4, Olympiade_6!$F:$F,3)+COUNTIFS(Olympiade_7!$B:$B, $B4, Olympiade_7!$F:$F,3)+COUNTIFS(Olympiade_8!$B:$B, $B4, Olympiade_8!$F:$F,3)</f>
        <v>0</v>
      </c>
      <c r="F4" s="5" t="n">
        <f aca="false">SUM(C4,D4,E4)</f>
        <v>3</v>
      </c>
      <c r="G4" s="5" t="n">
        <f aca="false">COUNTIFS(Olympiade_1!$B:$B, $B4, Olympiade_1!$G:$G,1)+COUNTIFS(Olympiade_2!$B:$B, $B4, Olympiade_2!$G:$G,1)+COUNTIFS(Olympiade_3!$B:$B, $B4, Olympiade_3!$G:$G,1)+COUNTIFS(Olympiade_4!$B:$B, $B4, Olympiade_4!$G:$G,1)+COUNTIFS(Olympiade_5!$B:$B, $B4, Olympiade_5!$G:$G,1)+COUNTIFS(Olympiade_6!$B:$B, $B4, Olympiade_6!$G:$G,1)+COUNTIFS(Olympiade_7!$B:$B, $B4, Olympiade_7!$G:$G,1)+COUNTIFS(Olympiade_8!$B:$B, $B4, Olympiade_8!$G:$G,1)</f>
        <v>0</v>
      </c>
      <c r="H4" s="5" t="n">
        <f aca="false">COUNTIFS(Olympiade_1!$B:$B, $B4, Olympiade_1!$G:$G,2)+COUNTIFS(Olympiade_2!$B:$B, $B4, Olympiade_2!$G:$G,2)+COUNTIFS(Olympiade_3!$B:$B, $B4, Olympiade_3!$G:$G,2)+COUNTIFS(Olympiade_4!$B:$B, $B4, Olympiade_4!$G:$G,2)+COUNTIFS(Olympiade_5!$B:$B, $B4, Olympiade_5!$G:$G,2)+COUNTIFS(Olympiade_6!$B:$B, $B4, Olympiade_6!$G:$G,2)+COUNTIFS(Olympiade_7!$B:$B, $B4, Olympiade_7!$G:$G,2)+COUNTIFS(Olympiade_8!$B:$B, $B4, Olympiade_8!$G:$G,2)</f>
        <v>1</v>
      </c>
      <c r="I4" s="5" t="n">
        <f aca="false">COUNTIFS(Olympiade_1!$B:$B, $B4, Olympiade_1!$G:$G,3)+COUNTIFS(Olympiade_2!$B:$B, $B4, Olympiade_2!$G:$G,3)+COUNTIFS(Olympiade_3!$B:$B, $B4, Olympiade_3!$G:$G,3)+COUNTIFS(Olympiade_4!$B:$B, $B4, Olympiade_4!$G:$G,3)+COUNTIFS(Olympiade_5!$B:$B, $B4, Olympiade_5!$G:$G,3)+COUNTIFS(Olympiade_6!$B:$B, $B4, Olympiade_6!$G:$G,3)+COUNTIFS(Olympiade_7!$B:$B, $B4, Olympiade_7!$G:$G,3)+COUNTIFS(Olympiade_8!$B:$B, $B4, Olympiade_8!$G:$G,3)</f>
        <v>0</v>
      </c>
      <c r="J4" s="5" t="n">
        <f aca="false">SUM(G4,H4,I4)</f>
        <v>1</v>
      </c>
      <c r="K4" s="5" t="n">
        <f aca="false">COUNTIFS(Olympiade_1!$B:$B, $B4, Olympiade_1!$H:$H,1)+COUNTIFS(Olympiade_2!$B:$B, $B4, Olympiade_2!$H:$H,1)+COUNTIFS(Olympiade_3!$B:$B, $B4, Olympiade_3!$H:$H,1)+COUNTIFS(Olympiade_4!$B:$B, $B4, Olympiade_4!$H:$H,1)+COUNTIFS(Olympiade_5!$B:$B, $B4, Olympiade_5!$H:$H,1)+COUNTIFS(Olympiade_6!$B:$B, $B4, Olympiade_6!$H:$H,1)+COUNTIFS(Olympiade_7!$B:$B, $B4, Olympiade_7!$H:$H,1)+COUNTIFS(Olympiade_8!$B:$B, $B4, Olympiade_8!$H:$H,1)</f>
        <v>1</v>
      </c>
      <c r="L4" s="5" t="n">
        <f aca="false">COUNTIFS(Olympiade_1!$B:$B, $B4, Olympiade_1!$H:$H,2)+COUNTIFS(Olympiade_2!$B:$B, $B4, Olympiade_2!$H:$H,2)+COUNTIFS(Olympiade_3!$B:$B, $B4, Olympiade_3!$H:$H,2)+COUNTIFS(Olympiade_4!$B:$B, $B4, Olympiade_4!$H:$H,2)+COUNTIFS(Olympiade_5!$B:$B, $B4, Olympiade_5!$H:$H,2)+COUNTIFS(Olympiade_6!$B:$B, $B4, Olympiade_6!$H:$H,2)+COUNTIFS(Olympiade_7!$B:$B, $B4, Olympiade_7!$H:$H,2)+COUNTIFS(Olympiade_8!$B:$B, $B4, Olympiade_8!$H:$H,2)</f>
        <v>1</v>
      </c>
      <c r="M4" s="5" t="n">
        <f aca="false">COUNTIFS(Olympiade_1!$B:$B, $B4, Olympiade_1!$H:$H,3)+COUNTIFS(Olympiade_2!$B:$B, $B4, Olympiade_2!$H:$H,3)+COUNTIFS(Olympiade_3!$B:$B, $B4, Olympiade_3!$H:$H,3)+COUNTIFS(Olympiade_4!$B:$B, $B4, Olympiade_4!$H:$H,3)+COUNTIFS(Olympiade_5!$B:$B, $B4, Olympiade_5!$H:$H,3)+COUNTIFS(Olympiade_6!$B:$B, $B4, Olympiade_6!$H:$H,3)+COUNTIFS(Olympiade_7!$B:$B, $B4, Olympiade_7!$H:$H,3)+COUNTIFS(Olympiade_8!$B:$B, $B4, Olympiade_8!$H:$H,3)</f>
        <v>1</v>
      </c>
      <c r="N4" s="5" t="n">
        <f aca="false">SUM(K4,L4,M4)</f>
        <v>3</v>
      </c>
      <c r="O4" s="5" t="n">
        <f aca="false">COUNTIFS(Olympiade_1!$B:$B, $B4, Olympiade_1!$A:$A,1)+COUNTIFS(Olympiade_2!$B:$B, $B4, Olympiade_2!$A:$A,1)+COUNTIFS(Olympiade_3!$B:$B, $B4, Olympiade_3!$A:$A,1)+COUNTIFS(Olympiade_4!$B:$B, $B4, Olympiade_4!$A:$A,1)+COUNTIFS(Olympiade_5!$B:$B, $B4, Olympiade_5!$A:$A,1)+COUNTIFS(Olympiade_6!$B:$B, $B4, Olympiade_6!$A:$A,1)+COUNTIFS(Olympiade_7!$B:$B, $B4, Olympiade_7!$A:$A,1)+COUNTIFS(Olympiade_8!$B:$B, $B4, Olympiade_8!$A:$A,1)</f>
        <v>2</v>
      </c>
      <c r="P4" s="5" t="n">
        <f aca="false">COUNTIFS(Olympiade_1!$B:$B, $B4, Olympiade_1!$A:$A,2)+COUNTIFS(Olympiade_2!$B:$B, $B4, Olympiade_2!$A:$A,2)+COUNTIFS(Olympiade_3!$B:$B, $B4, Olympiade_3!$A:$A,2)+COUNTIFS(Olympiade_4!$B:$B, $B4, Olympiade_4!$A:$A,2)+COUNTIFS(Olympiade_5!$B:$B, $B4, Olympiade_5!$A:$A,2)+COUNTIFS(Olympiade_6!$B:$B, $B4, Olympiade_6!$A:$A,2)+COUNTIFS(Olympiade_7!$B:$B, $B4, Olympiade_7!$A:$A,2)+COUNTIFS(Olympiade_8!$B:$B, $B4, Olympiade_8!$A:$A,2)</f>
        <v>1</v>
      </c>
      <c r="Q4" s="5" t="n">
        <f aca="false">COUNTIFS(Olympiade_1!$B:$B, $B4, Olympiade_1!$A:$A,3)+COUNTIFS(Olympiade_2!$B:$B, $B4, Olympiade_2!$A:$A,3)+COUNTIFS(Olympiade_3!$B:$B, $B4, Olympiade_3!$A:$A,3)+COUNTIFS(Olympiade_4!$B:$B, $B4, Olympiade_4!$A:$A,3)+COUNTIFS(Olympiade_5!$B:$B, $B4, Olympiade_5!$A:$A,3)+COUNTIFS(Olympiade_6!$B:$B, $B4, Olympiade_6!$A:$A,3)+COUNTIFS(Olympiade_7!$B:$B, $B4, Olympiade_7!$A:$A,3)+COUNTIFS(Olympiade_8!$B:$B, $B4, Olympiade_8!$A:$A,3)</f>
        <v>0</v>
      </c>
      <c r="R4" s="5" t="n">
        <f aca="false">SUM(O4,P4,Q4)</f>
        <v>3</v>
      </c>
      <c r="S4" s="5" t="n">
        <f aca="false">SUM(C4,G4,K4,O4)</f>
        <v>5</v>
      </c>
      <c r="T4" s="5" t="n">
        <f aca="false">SUM(D4,H4,L4,P4)</f>
        <v>4</v>
      </c>
      <c r="U4" s="5" t="n">
        <f aca="false">SUM(E4,I4,M4,Q4)</f>
        <v>1</v>
      </c>
      <c r="V4" s="5" t="n">
        <f aca="false">SUM(S4,T4,U4)</f>
        <v>10</v>
      </c>
      <c r="W4" s="5" t="n">
        <f aca="false">SUMIFS(Database!B:B,Database!A:A,B4) + SUMIFS(Database!F:F,Database!A:A,B4)</f>
        <v>260</v>
      </c>
      <c r="X4" s="5" t="e">
        <f aca="false" t="array" ref="X4:X4">AVERAGE(xlookup(B4, Database!K:K, Database!L:N,NA()))</f>
        <v>#N/A</v>
      </c>
    </row>
    <row r="5" customFormat="false" ht="15" hidden="false" customHeight="false" outlineLevel="0" collapsed="false">
      <c r="A5" s="5" t="n">
        <v>4</v>
      </c>
      <c r="B5" s="5" t="s">
        <v>9</v>
      </c>
      <c r="C5" s="5" t="n">
        <f aca="false">COUNTIFS(Olympiade_1!$B:$B,$B5,Olympiade_1!$F:$F,1)+COUNTIFS(Olympiade_2!$B:$B,$B5,Olympiade_2!$F:$F,1)+COUNTIFS(Olympiade_3!$B:$B,$B5,Olympiade_3!$F:$F,1)+COUNTIFS(Olympiade_4!$B:$B,$B5,Olympiade_4!$F:$F,1)+COUNTIFS(Olympiade_5!$B:$B,$B5,Olympiade_5!$F:$F,1)+COUNTIFS(Olympiade_6!$B:$B,$B5,Olympiade_6!$F:$F,1)+COUNTIFS(Olympiade_7!$B:$B,$B5,Olympiade_7!$F:$F,1)+COUNTIFS(Olympiade_8!$B:$B,$B5,Olympiade_8!$F:$F,1)</f>
        <v>0</v>
      </c>
      <c r="D5" s="5" t="n">
        <f aca="false">COUNTIFS(Olympiade_1!$B:$B, $B5, Olympiade_1!$F:$F,2)+COUNTIFS(Olympiade_2!$B:$B, $B5, Olympiade_2!$F:$F,2)+COUNTIFS(Olympiade_3!$B:$B, $B5, Olympiade_3!$F:$F,2)+COUNTIFS(Olympiade_4!$B:$B, $B5, Olympiade_4!$F:$F,2)+COUNTIFS(Olympiade_5!$B:$B, $B5, Olympiade_5!$F:$F,2)+COUNTIFS(Olympiade_6!$B:$B, $B5, Olympiade_6!$F:$F,2)+COUNTIFS(Olympiade_7!$B:$B, $B5, Olympiade_7!$F:$F,2)+COUNTIFS(Olympiade_8!$B:$B, $B5, Olympiade_8!$F:$F,2)</f>
        <v>0</v>
      </c>
      <c r="E5" s="5" t="n">
        <f aca="false">COUNTIFS(Olympiade_1!$B:$B, $B5, Olympiade_1!$F:$F,3)+COUNTIFS(Olympiade_2!$B:$B, $B5, Olympiade_2!$F:$F,3)+COUNTIFS(Olympiade_3!$B:$B, $B5, Olympiade_3!$F:$F,3)+COUNTIFS(Olympiade_4!$B:$B, $B5, Olympiade_4!$F:$F,3)+COUNTIFS(Olympiade_5!$B:$B, $B5, Olympiade_5!$F:$F,3)+COUNTIFS(Olympiade_6!$B:$B, $B5, Olympiade_6!$F:$F,3)+COUNTIFS(Olympiade_7!$B:$B, $B5, Olympiade_7!$F:$F,3)+COUNTIFS(Olympiade_8!$B:$B, $B5, Olympiade_8!$F:$F,3)</f>
        <v>2</v>
      </c>
      <c r="F5" s="5" t="n">
        <f aca="false">SUM(C5,D5,E5)</f>
        <v>2</v>
      </c>
      <c r="G5" s="5" t="n">
        <f aca="false">COUNTIFS(Olympiade_1!$B:$B, $B5, Olympiade_1!$G:$G,1)+COUNTIFS(Olympiade_2!$B:$B, $B5, Olympiade_2!$G:$G,1)+COUNTIFS(Olympiade_3!$B:$B, $B5, Olympiade_3!$G:$G,1)+COUNTIFS(Olympiade_4!$B:$B, $B5, Olympiade_4!$G:$G,1)+COUNTIFS(Olympiade_5!$B:$B, $B5, Olympiade_5!$G:$G,1)+COUNTIFS(Olympiade_6!$B:$B, $B5, Olympiade_6!$G:$G,1)+COUNTIFS(Olympiade_7!$B:$B, $B5, Olympiade_7!$G:$G,1)+COUNTIFS(Olympiade_8!$B:$B, $B5, Olympiade_8!$G:$G,1)</f>
        <v>0</v>
      </c>
      <c r="H5" s="5" t="n">
        <f aca="false">COUNTIFS(Olympiade_1!$B:$B, $B5, Olympiade_1!$G:$G,2)+COUNTIFS(Olympiade_2!$B:$B, $B5, Olympiade_2!$G:$G,2)+COUNTIFS(Olympiade_3!$B:$B, $B5, Olympiade_3!$G:$G,2)+COUNTIFS(Olympiade_4!$B:$B, $B5, Olympiade_4!$G:$G,2)+COUNTIFS(Olympiade_5!$B:$B, $B5, Olympiade_5!$G:$G,2)+COUNTIFS(Olympiade_6!$B:$B, $B5, Olympiade_6!$G:$G,2)+COUNTIFS(Olympiade_7!$B:$B, $B5, Olympiade_7!$G:$G,2)+COUNTIFS(Olympiade_8!$B:$B, $B5, Olympiade_8!$G:$G,2)</f>
        <v>1</v>
      </c>
      <c r="I5" s="5" t="n">
        <f aca="false">COUNTIFS(Olympiade_1!$B:$B, $B5, Olympiade_1!$G:$G,3)+COUNTIFS(Olympiade_2!$B:$B, $B5, Olympiade_2!$G:$G,3)+COUNTIFS(Olympiade_3!$B:$B, $B5, Olympiade_3!$G:$G,3)+COUNTIFS(Olympiade_4!$B:$B, $B5, Olympiade_4!$G:$G,3)+COUNTIFS(Olympiade_5!$B:$B, $B5, Olympiade_5!$G:$G,3)+COUNTIFS(Olympiade_6!$B:$B, $B5, Olympiade_6!$G:$G,3)+COUNTIFS(Olympiade_7!$B:$B, $B5, Olympiade_7!$G:$G,3)+COUNTIFS(Olympiade_8!$B:$B, $B5, Olympiade_8!$G:$G,3)</f>
        <v>1</v>
      </c>
      <c r="J5" s="5" t="n">
        <f aca="false">SUM(G5,H5,I5)</f>
        <v>2</v>
      </c>
      <c r="K5" s="5" t="n">
        <f aca="false">COUNTIFS(Olympiade_1!$B:$B, $B5, Olympiade_1!$H:$H,1)+COUNTIFS(Olympiade_2!$B:$B, $B5, Olympiade_2!$H:$H,1)+COUNTIFS(Olympiade_3!$B:$B, $B5, Olympiade_3!$H:$H,1)+COUNTIFS(Olympiade_4!$B:$B, $B5, Olympiade_4!$H:$H,1)+COUNTIFS(Olympiade_5!$B:$B, $B5, Olympiade_5!$H:$H,1)+COUNTIFS(Olympiade_6!$B:$B, $B5, Olympiade_6!$H:$H,1)+COUNTIFS(Olympiade_7!$B:$B, $B5, Olympiade_7!$H:$H,1)+COUNTIFS(Olympiade_8!$B:$B, $B5, Olympiade_8!$H:$H,1)</f>
        <v>3</v>
      </c>
      <c r="L5" s="5" t="n">
        <f aca="false">COUNTIFS(Olympiade_1!$B:$B, $B5, Olympiade_1!$H:$H,2)+COUNTIFS(Olympiade_2!$B:$B, $B5, Olympiade_2!$H:$H,2)+COUNTIFS(Olympiade_3!$B:$B, $B5, Olympiade_3!$H:$H,2)+COUNTIFS(Olympiade_4!$B:$B, $B5, Olympiade_4!$H:$H,2)+COUNTIFS(Olympiade_5!$B:$B, $B5, Olympiade_5!$H:$H,2)+COUNTIFS(Olympiade_6!$B:$B, $B5, Olympiade_6!$H:$H,2)+COUNTIFS(Olympiade_7!$B:$B, $B5, Olympiade_7!$H:$H,2)+COUNTIFS(Olympiade_8!$B:$B, $B5, Olympiade_8!$H:$H,2)</f>
        <v>1</v>
      </c>
      <c r="M5" s="5" t="n">
        <f aca="false">COUNTIFS(Olympiade_1!$B:$B, $B5, Olympiade_1!$H:$H,3)+COUNTIFS(Olympiade_2!$B:$B, $B5, Olympiade_2!$H:$H,3)+COUNTIFS(Olympiade_3!$B:$B, $B5, Olympiade_3!$H:$H,3)+COUNTIFS(Olympiade_4!$B:$B, $B5, Olympiade_4!$H:$H,3)+COUNTIFS(Olympiade_5!$B:$B, $B5, Olympiade_5!$H:$H,3)+COUNTIFS(Olympiade_6!$B:$B, $B5, Olympiade_6!$H:$H,3)+COUNTIFS(Olympiade_7!$B:$B, $B5, Olympiade_7!$H:$H,3)+COUNTIFS(Olympiade_8!$B:$B, $B5, Olympiade_8!$H:$H,3)</f>
        <v>2</v>
      </c>
      <c r="N5" s="5" t="n">
        <f aca="false">SUM(K5,L5,M5)</f>
        <v>6</v>
      </c>
      <c r="O5" s="5" t="n">
        <f aca="false">COUNTIFS(Olympiade_1!$B:$B, $B5, Olympiade_1!$A:$A,1)+COUNTIFS(Olympiade_2!$B:$B, $B5, Olympiade_2!$A:$A,1)+COUNTIFS(Olympiade_3!$B:$B, $B5, Olympiade_3!$A:$A,1)+COUNTIFS(Olympiade_4!$B:$B, $B5, Olympiade_4!$A:$A,1)+COUNTIFS(Olympiade_5!$B:$B, $B5, Olympiade_5!$A:$A,1)+COUNTIFS(Olympiade_6!$B:$B, $B5, Olympiade_6!$A:$A,1)+COUNTIFS(Olympiade_7!$B:$B, $B5, Olympiade_7!$A:$A,1)+COUNTIFS(Olympiade_8!$B:$B, $B5, Olympiade_8!$A:$A,1)</f>
        <v>2</v>
      </c>
      <c r="P5" s="5" t="n">
        <f aca="false">COUNTIFS(Olympiade_1!$B:$B, $B5, Olympiade_1!$A:$A,2)+COUNTIFS(Olympiade_2!$B:$B, $B5, Olympiade_2!$A:$A,2)+COUNTIFS(Olympiade_3!$B:$B, $B5, Olympiade_3!$A:$A,2)+COUNTIFS(Olympiade_4!$B:$B, $B5, Olympiade_4!$A:$A,2)+COUNTIFS(Olympiade_5!$B:$B, $B5, Olympiade_5!$A:$A,2)+COUNTIFS(Olympiade_6!$B:$B, $B5, Olympiade_6!$A:$A,2)+COUNTIFS(Olympiade_7!$B:$B, $B5, Olympiade_7!$A:$A,2)+COUNTIFS(Olympiade_8!$B:$B, $B5, Olympiade_8!$A:$A,2)</f>
        <v>0</v>
      </c>
      <c r="Q5" s="5" t="n">
        <f aca="false">COUNTIFS(Olympiade_1!$B:$B, $B5, Olympiade_1!$A:$A,3)+COUNTIFS(Olympiade_2!$B:$B, $B5, Olympiade_2!$A:$A,3)+COUNTIFS(Olympiade_3!$B:$B, $B5, Olympiade_3!$A:$A,3)+COUNTIFS(Olympiade_4!$B:$B, $B5, Olympiade_4!$A:$A,3)+COUNTIFS(Olympiade_5!$B:$B, $B5, Olympiade_5!$A:$A,3)+COUNTIFS(Olympiade_6!$B:$B, $B5, Olympiade_6!$A:$A,3)+COUNTIFS(Olympiade_7!$B:$B, $B5, Olympiade_7!$A:$A,3)+COUNTIFS(Olympiade_8!$B:$B, $B5, Olympiade_8!$A:$A,3)</f>
        <v>1</v>
      </c>
      <c r="R5" s="5" t="n">
        <f aca="false">SUM(O5,P5,Q5)</f>
        <v>3</v>
      </c>
      <c r="S5" s="5" t="n">
        <f aca="false">SUM(C5,G5,K5,O5)</f>
        <v>5</v>
      </c>
      <c r="T5" s="5" t="n">
        <f aca="false">SUM(D5,H5,L5,P5)</f>
        <v>2</v>
      </c>
      <c r="U5" s="5" t="n">
        <f aca="false">SUM(E5,I5,M5,Q5)</f>
        <v>6</v>
      </c>
      <c r="V5" s="5" t="n">
        <f aca="false">SUM(S5,T5,U5)</f>
        <v>13</v>
      </c>
      <c r="W5" s="5" t="n">
        <f aca="false">SUMIFS(Database!B:B,Database!A:A,B5) + SUMIFS(Database!F:F,Database!A:A,B5)</f>
        <v>270</v>
      </c>
      <c r="X5" s="5" t="e">
        <f aca="false" t="array" ref="X5:X5">AVERAGE(xlookup(B5, Database!K:K, Database!L:N,NA()))</f>
        <v>#N/A</v>
      </c>
    </row>
    <row r="6" customFormat="false" ht="15" hidden="false" customHeight="false" outlineLevel="0" collapsed="false">
      <c r="A6" s="5" t="n">
        <v>3</v>
      </c>
      <c r="B6" s="5" t="s">
        <v>8</v>
      </c>
      <c r="C6" s="5" t="n">
        <f aca="false">COUNTIFS(Olympiade_1!$B:$B,$B6,Olympiade_1!$F:$F,1)+COUNTIFS(Olympiade_2!$B:$B,$B6,Olympiade_2!$F:$F,1)+COUNTIFS(Olympiade_3!$B:$B,$B6,Olympiade_3!$F:$F,1)+COUNTIFS(Olympiade_4!$B:$B,$B6,Olympiade_4!$F:$F,1)+COUNTIFS(Olympiade_5!$B:$B,$B6,Olympiade_5!$F:$F,1)+COUNTIFS(Olympiade_6!$B:$B,$B6,Olympiade_6!$F:$F,1)+COUNTIFS(Olympiade_7!$B:$B,$B6,Olympiade_7!$F:$F,1)+COUNTIFS(Olympiade_8!$B:$B,$B6,Olympiade_8!$F:$F,1)</f>
        <v>1</v>
      </c>
      <c r="D6" s="5" t="n">
        <f aca="false">COUNTIFS(Olympiade_1!$B:$B, $B6, Olympiade_1!$F:$F,2)+COUNTIFS(Olympiade_2!$B:$B, $B6, Olympiade_2!$F:$F,2)+COUNTIFS(Olympiade_3!$B:$B, $B6, Olympiade_3!$F:$F,2)+COUNTIFS(Olympiade_4!$B:$B, $B6, Olympiade_4!$F:$F,2)+COUNTIFS(Olympiade_5!$B:$B, $B6, Olympiade_5!$F:$F,2)+COUNTIFS(Olympiade_6!$B:$B, $B6, Olympiade_6!$F:$F,2)+COUNTIFS(Olympiade_7!$B:$B, $B6, Olympiade_7!$F:$F,2)+COUNTIFS(Olympiade_8!$B:$B, $B6, Olympiade_8!$F:$F,2)</f>
        <v>1</v>
      </c>
      <c r="E6" s="5" t="n">
        <f aca="false">COUNTIFS(Olympiade_1!$B:$B, $B6, Olympiade_1!$F:$F,3)+COUNTIFS(Olympiade_2!$B:$B, $B6, Olympiade_2!$F:$F,3)+COUNTIFS(Olympiade_3!$B:$B, $B6, Olympiade_3!$F:$F,3)+COUNTIFS(Olympiade_4!$B:$B, $B6, Olympiade_4!$F:$F,3)+COUNTIFS(Olympiade_5!$B:$B, $B6, Olympiade_5!$F:$F,3)+COUNTIFS(Olympiade_6!$B:$B, $B6, Olympiade_6!$F:$F,3)+COUNTIFS(Olympiade_7!$B:$B, $B6, Olympiade_7!$F:$F,3)+COUNTIFS(Olympiade_8!$B:$B, $B6, Olympiade_8!$F:$F,3)</f>
        <v>0</v>
      </c>
      <c r="F6" s="5" t="n">
        <f aca="false">SUM(C6,D6,E6)</f>
        <v>2</v>
      </c>
      <c r="G6" s="5" t="n">
        <f aca="false">COUNTIFS(Olympiade_1!$B:$B, $B6, Olympiade_1!$G:$G,1)+COUNTIFS(Olympiade_2!$B:$B, $B6, Olympiade_2!$G:$G,1)+COUNTIFS(Olympiade_3!$B:$B, $B6, Olympiade_3!$G:$G,1)+COUNTIFS(Olympiade_4!$B:$B, $B6, Olympiade_4!$G:$G,1)+COUNTIFS(Olympiade_5!$B:$B, $B6, Olympiade_5!$G:$G,1)+COUNTIFS(Olympiade_6!$B:$B, $B6, Olympiade_6!$G:$G,1)+COUNTIFS(Olympiade_7!$B:$B, $B6, Olympiade_7!$G:$G,1)+COUNTIFS(Olympiade_8!$B:$B, $B6, Olympiade_8!$G:$G,1)</f>
        <v>3</v>
      </c>
      <c r="H6" s="5" t="n">
        <f aca="false">COUNTIFS(Olympiade_1!$B:$B, $B6, Olympiade_1!$G:$G,2)+COUNTIFS(Olympiade_2!$B:$B, $B6, Olympiade_2!$G:$G,2)+COUNTIFS(Olympiade_3!$B:$B, $B6, Olympiade_3!$G:$G,2)+COUNTIFS(Olympiade_4!$B:$B, $B6, Olympiade_4!$G:$G,2)+COUNTIFS(Olympiade_5!$B:$B, $B6, Olympiade_5!$G:$G,2)+COUNTIFS(Olympiade_6!$B:$B, $B6, Olympiade_6!$G:$G,2)+COUNTIFS(Olympiade_7!$B:$B, $B6, Olympiade_7!$G:$G,2)+COUNTIFS(Olympiade_8!$B:$B, $B6, Olympiade_8!$G:$G,2)</f>
        <v>0</v>
      </c>
      <c r="I6" s="5" t="n">
        <f aca="false">COUNTIFS(Olympiade_1!$B:$B, $B6, Olympiade_1!$G:$G,3)+COUNTIFS(Olympiade_2!$B:$B, $B6, Olympiade_2!$G:$G,3)+COUNTIFS(Olympiade_3!$B:$B, $B6, Olympiade_3!$G:$G,3)+COUNTIFS(Olympiade_4!$B:$B, $B6, Olympiade_4!$G:$G,3)+COUNTIFS(Olympiade_5!$B:$B, $B6, Olympiade_5!$G:$G,3)+COUNTIFS(Olympiade_6!$B:$B, $B6, Olympiade_6!$G:$G,3)+COUNTIFS(Olympiade_7!$B:$B, $B6, Olympiade_7!$G:$G,3)+COUNTIFS(Olympiade_8!$B:$B, $B6, Olympiade_8!$G:$G,3)</f>
        <v>0</v>
      </c>
      <c r="J6" s="5" t="n">
        <f aca="false">SUM(G6,H6,I6)</f>
        <v>3</v>
      </c>
      <c r="K6" s="5" t="n">
        <f aca="false">COUNTIFS(Olympiade_1!$B:$B, $B6, Olympiade_1!$H:$H,1)+COUNTIFS(Olympiade_2!$B:$B, $B6, Olympiade_2!$H:$H,1)+COUNTIFS(Olympiade_3!$B:$B, $B6, Olympiade_3!$H:$H,1)+COUNTIFS(Olympiade_4!$B:$B, $B6, Olympiade_4!$H:$H,1)+COUNTIFS(Olympiade_5!$B:$B, $B6, Olympiade_5!$H:$H,1)+COUNTIFS(Olympiade_6!$B:$B, $B6, Olympiade_6!$H:$H,1)+COUNTIFS(Olympiade_7!$B:$B, $B6, Olympiade_7!$H:$H,1)+COUNTIFS(Olympiade_8!$B:$B, $B6, Olympiade_8!$H:$H,1)</f>
        <v>1</v>
      </c>
      <c r="L6" s="5" t="n">
        <f aca="false">COUNTIFS(Olympiade_1!$B:$B, $B6, Olympiade_1!$H:$H,2)+COUNTIFS(Olympiade_2!$B:$B, $B6, Olympiade_2!$H:$H,2)+COUNTIFS(Olympiade_3!$B:$B, $B6, Olympiade_3!$H:$H,2)+COUNTIFS(Olympiade_4!$B:$B, $B6, Olympiade_4!$H:$H,2)+COUNTIFS(Olympiade_5!$B:$B, $B6, Olympiade_5!$H:$H,2)+COUNTIFS(Olympiade_6!$B:$B, $B6, Olympiade_6!$H:$H,2)+COUNTIFS(Olympiade_7!$B:$B, $B6, Olympiade_7!$H:$H,2)+COUNTIFS(Olympiade_8!$B:$B, $B6, Olympiade_8!$H:$H,2)</f>
        <v>1</v>
      </c>
      <c r="M6" s="5" t="n">
        <f aca="false">COUNTIFS(Olympiade_1!$B:$B, $B6, Olympiade_1!$H:$H,3)+COUNTIFS(Olympiade_2!$B:$B, $B6, Olympiade_2!$H:$H,3)+COUNTIFS(Olympiade_3!$B:$B, $B6, Olympiade_3!$H:$H,3)+COUNTIFS(Olympiade_4!$B:$B, $B6, Olympiade_4!$H:$H,3)+COUNTIFS(Olympiade_5!$B:$B, $B6, Olympiade_5!$H:$H,3)+COUNTIFS(Olympiade_6!$B:$B, $B6, Olympiade_6!$H:$H,3)+COUNTIFS(Olympiade_7!$B:$B, $B6, Olympiade_7!$H:$H,3)+COUNTIFS(Olympiade_8!$B:$B, $B6, Olympiade_8!$H:$H,3)</f>
        <v>0</v>
      </c>
      <c r="N6" s="5" t="n">
        <f aca="false">SUM(K6,L6,M6)</f>
        <v>2</v>
      </c>
      <c r="O6" s="5" t="n">
        <f aca="false">COUNTIFS(Olympiade_1!$B:$B, $B6, Olympiade_1!$A:$A,1)+COUNTIFS(Olympiade_2!$B:$B, $B6, Olympiade_2!$A:$A,1)+COUNTIFS(Olympiade_3!$B:$B, $B6, Olympiade_3!$A:$A,1)+COUNTIFS(Olympiade_4!$B:$B, $B6, Olympiade_4!$A:$A,1)+COUNTIFS(Olympiade_5!$B:$B, $B6, Olympiade_5!$A:$A,1)+COUNTIFS(Olympiade_6!$B:$B, $B6, Olympiade_6!$A:$A,1)+COUNTIFS(Olympiade_7!$B:$B, $B6, Olympiade_7!$A:$A,1)+COUNTIFS(Olympiade_8!$B:$B, $B6, Olympiade_8!$A:$A,1)</f>
        <v>1</v>
      </c>
      <c r="P6" s="5" t="n">
        <f aca="false">COUNTIFS(Olympiade_1!$B:$B, $B6, Olympiade_1!$A:$A,2)+COUNTIFS(Olympiade_2!$B:$B, $B6, Olympiade_2!$A:$A,2)+COUNTIFS(Olympiade_3!$B:$B, $B6, Olympiade_3!$A:$A,2)+COUNTIFS(Olympiade_4!$B:$B, $B6, Olympiade_4!$A:$A,2)+COUNTIFS(Olympiade_5!$B:$B, $B6, Olympiade_5!$A:$A,2)+COUNTIFS(Olympiade_6!$B:$B, $B6, Olympiade_6!$A:$A,2)+COUNTIFS(Olympiade_7!$B:$B, $B6, Olympiade_7!$A:$A,2)+COUNTIFS(Olympiade_8!$B:$B, $B6, Olympiade_8!$A:$A,2)</f>
        <v>2</v>
      </c>
      <c r="Q6" s="5" t="n">
        <f aca="false">COUNTIFS(Olympiade_1!$B:$B, $B6, Olympiade_1!$A:$A,3)+COUNTIFS(Olympiade_2!$B:$B, $B6, Olympiade_2!$A:$A,3)+COUNTIFS(Olympiade_3!$B:$B, $B6, Olympiade_3!$A:$A,3)+COUNTIFS(Olympiade_4!$B:$B, $B6, Olympiade_4!$A:$A,3)+COUNTIFS(Olympiade_5!$B:$B, $B6, Olympiade_5!$A:$A,3)+COUNTIFS(Olympiade_6!$B:$B, $B6, Olympiade_6!$A:$A,3)+COUNTIFS(Olympiade_7!$B:$B, $B6, Olympiade_7!$A:$A,3)+COUNTIFS(Olympiade_8!$B:$B, $B6, Olympiade_8!$A:$A,3)</f>
        <v>1</v>
      </c>
      <c r="R6" s="5" t="n">
        <f aca="false">SUM(O6,P6,Q6)</f>
        <v>4</v>
      </c>
      <c r="S6" s="5" t="n">
        <f aca="false">SUM(C6,G6,K6,O6)</f>
        <v>6</v>
      </c>
      <c r="T6" s="5" t="n">
        <f aca="false">SUM(D6,H6,L6,P6)</f>
        <v>4</v>
      </c>
      <c r="U6" s="5" t="n">
        <f aca="false">SUM(E6,I6,M6,Q6)</f>
        <v>1</v>
      </c>
      <c r="V6" s="5" t="n">
        <f aca="false">SUM(S6,T6,U6)</f>
        <v>11</v>
      </c>
      <c r="W6" s="5" t="n">
        <f aca="false">SUMIFS(Database!B:B,Database!A:A,B6) + SUMIFS(Database!F:F,Database!A:A,B6)</f>
        <v>300</v>
      </c>
      <c r="X6" s="5" t="e">
        <f aca="false" t="array" ref="X6:X6">AVERAGE(xlookup(B6, Database!K:K, Database!L:N,NA()))</f>
        <v>#N/A</v>
      </c>
    </row>
    <row r="7" customFormat="false" ht="15" hidden="false" customHeight="false" outlineLevel="0" collapsed="false">
      <c r="A7" s="5" t="n">
        <v>7</v>
      </c>
      <c r="B7" s="5" t="s">
        <v>12</v>
      </c>
      <c r="C7" s="5" t="n">
        <f aca="false">COUNTIFS(Olympiade_1!$B:$B,$B7,Olympiade_1!$F:$F,1)+COUNTIFS(Olympiade_2!$B:$B,$B7,Olympiade_2!$F:$F,1)+COUNTIFS(Olympiade_3!$B:$B,$B7,Olympiade_3!$F:$F,1)+COUNTIFS(Olympiade_4!$B:$B,$B7,Olympiade_4!$F:$F,1)+COUNTIFS(Olympiade_5!$B:$B,$B7,Olympiade_5!$F:$F,1)+COUNTIFS(Olympiade_6!$B:$B,$B7,Olympiade_6!$F:$F,1)+COUNTIFS(Olympiade_7!$B:$B,$B7,Olympiade_7!$F:$F,1)+COUNTIFS(Olympiade_8!$B:$B,$B7,Olympiade_8!$F:$F,1)</f>
        <v>3</v>
      </c>
      <c r="D7" s="5" t="n">
        <f aca="false">COUNTIFS(Olympiade_1!$B:$B, $B7, Olympiade_1!$F:$F,2)+COUNTIFS(Olympiade_2!$B:$B, $B7, Olympiade_2!$F:$F,2)+COUNTIFS(Olympiade_3!$B:$B, $B7, Olympiade_3!$F:$F,2)+COUNTIFS(Olympiade_4!$B:$B, $B7, Olympiade_4!$F:$F,2)+COUNTIFS(Olympiade_5!$B:$B, $B7, Olympiade_5!$F:$F,2)+COUNTIFS(Olympiade_6!$B:$B, $B7, Olympiade_6!$F:$F,2)+COUNTIFS(Olympiade_7!$B:$B, $B7, Olympiade_7!$F:$F,2)+COUNTIFS(Olympiade_8!$B:$B, $B7, Olympiade_8!$F:$F,2)</f>
        <v>0</v>
      </c>
      <c r="E7" s="5" t="n">
        <f aca="false">COUNTIFS(Olympiade_1!$B:$B, $B7, Olympiade_1!$F:$F,3)+COUNTIFS(Olympiade_2!$B:$B, $B7, Olympiade_2!$F:$F,3)+COUNTIFS(Olympiade_3!$B:$B, $B7, Olympiade_3!$F:$F,3)+COUNTIFS(Olympiade_4!$B:$B, $B7, Olympiade_4!$F:$F,3)+COUNTIFS(Olympiade_5!$B:$B, $B7, Olympiade_5!$F:$F,3)+COUNTIFS(Olympiade_6!$B:$B, $B7, Olympiade_6!$F:$F,3)+COUNTIFS(Olympiade_7!$B:$B, $B7, Olympiade_7!$F:$F,3)+COUNTIFS(Olympiade_8!$B:$B, $B7, Olympiade_8!$F:$F,3)</f>
        <v>0</v>
      </c>
      <c r="F7" s="5" t="n">
        <f aca="false">SUM(C7,D7,E7)</f>
        <v>3</v>
      </c>
      <c r="G7" s="5" t="n">
        <f aca="false">COUNTIFS(Olympiade_1!$B:$B, $B7, Olympiade_1!$G:$G,1)+COUNTIFS(Olympiade_2!$B:$B, $B7, Olympiade_2!$G:$G,1)+COUNTIFS(Olympiade_3!$B:$B, $B7, Olympiade_3!$G:$G,1)+COUNTIFS(Olympiade_4!$B:$B, $B7, Olympiade_4!$G:$G,1)+COUNTIFS(Olympiade_5!$B:$B, $B7, Olympiade_5!$G:$G,1)+COUNTIFS(Olympiade_6!$B:$B, $B7, Olympiade_6!$G:$G,1)+COUNTIFS(Olympiade_7!$B:$B, $B7, Olympiade_7!$G:$G,1)+COUNTIFS(Olympiade_8!$B:$B, $B7, Olympiade_8!$G:$G,1)</f>
        <v>0</v>
      </c>
      <c r="H7" s="5" t="n">
        <f aca="false">COUNTIFS(Olympiade_1!$B:$B, $B7, Olympiade_1!$G:$G,2)+COUNTIFS(Olympiade_2!$B:$B, $B7, Olympiade_2!$G:$G,2)+COUNTIFS(Olympiade_3!$B:$B, $B7, Olympiade_3!$G:$G,2)+COUNTIFS(Olympiade_4!$B:$B, $B7, Olympiade_4!$G:$G,2)+COUNTIFS(Olympiade_5!$B:$B, $B7, Olympiade_5!$G:$G,2)+COUNTIFS(Olympiade_6!$B:$B, $B7, Olympiade_6!$G:$G,2)+COUNTIFS(Olympiade_7!$B:$B, $B7, Olympiade_7!$G:$G,2)+COUNTIFS(Olympiade_8!$B:$B, $B7, Olympiade_8!$G:$G,2)</f>
        <v>1</v>
      </c>
      <c r="I7" s="5" t="n">
        <f aca="false">COUNTIFS(Olympiade_1!$B:$B, $B7, Olympiade_1!$G:$G,3)+COUNTIFS(Olympiade_2!$B:$B, $B7, Olympiade_2!$G:$G,3)+COUNTIFS(Olympiade_3!$B:$B, $B7, Olympiade_3!$G:$G,3)+COUNTIFS(Olympiade_4!$B:$B, $B7, Olympiade_4!$G:$G,3)+COUNTIFS(Olympiade_5!$B:$B, $B7, Olympiade_5!$G:$G,3)+COUNTIFS(Olympiade_6!$B:$B, $B7, Olympiade_6!$G:$G,3)+COUNTIFS(Olympiade_7!$B:$B, $B7, Olympiade_7!$G:$G,3)+COUNTIFS(Olympiade_8!$B:$B, $B7, Olympiade_8!$G:$G,3)</f>
        <v>1</v>
      </c>
      <c r="J7" s="5" t="n">
        <f aca="false">SUM(G7,H7,I7)</f>
        <v>2</v>
      </c>
      <c r="K7" s="5" t="n">
        <f aca="false">COUNTIFS(Olympiade_1!$B:$B, $B7, Olympiade_1!$H:$H,1)+COUNTIFS(Olympiade_2!$B:$B, $B7, Olympiade_2!$H:$H,1)+COUNTIFS(Olympiade_3!$B:$B, $B7, Olympiade_3!$H:$H,1)+COUNTIFS(Olympiade_4!$B:$B, $B7, Olympiade_4!$H:$H,1)+COUNTIFS(Olympiade_5!$B:$B, $B7, Olympiade_5!$H:$H,1)+COUNTIFS(Olympiade_6!$B:$B, $B7, Olympiade_6!$H:$H,1)+COUNTIFS(Olympiade_7!$B:$B, $B7, Olympiade_7!$H:$H,1)+COUNTIFS(Olympiade_8!$B:$B, $B7, Olympiade_8!$H:$H,1)</f>
        <v>0</v>
      </c>
      <c r="L7" s="5" t="n">
        <f aca="false">COUNTIFS(Olympiade_1!$B:$B, $B7, Olympiade_1!$H:$H,2)+COUNTIFS(Olympiade_2!$B:$B, $B7, Olympiade_2!$H:$H,2)+COUNTIFS(Olympiade_3!$B:$B, $B7, Olympiade_3!$H:$H,2)+COUNTIFS(Olympiade_4!$B:$B, $B7, Olympiade_4!$H:$H,2)+COUNTIFS(Olympiade_5!$B:$B, $B7, Olympiade_5!$H:$H,2)+COUNTIFS(Olympiade_6!$B:$B, $B7, Olympiade_6!$H:$H,2)+COUNTIFS(Olympiade_7!$B:$B, $B7, Olympiade_7!$H:$H,2)+COUNTIFS(Olympiade_8!$B:$B, $B7, Olympiade_8!$H:$H,2)</f>
        <v>3</v>
      </c>
      <c r="M7" s="5" t="n">
        <f aca="false">COUNTIFS(Olympiade_1!$B:$B, $B7, Olympiade_1!$H:$H,3)+COUNTIFS(Olympiade_2!$B:$B, $B7, Olympiade_2!$H:$H,3)+COUNTIFS(Olympiade_3!$B:$B, $B7, Olympiade_3!$H:$H,3)+COUNTIFS(Olympiade_4!$B:$B, $B7, Olympiade_4!$H:$H,3)+COUNTIFS(Olympiade_5!$B:$B, $B7, Olympiade_5!$H:$H,3)+COUNTIFS(Olympiade_6!$B:$B, $B7, Olympiade_6!$H:$H,3)+COUNTIFS(Olympiade_7!$B:$B, $B7, Olympiade_7!$H:$H,3)+COUNTIFS(Olympiade_8!$B:$B, $B7, Olympiade_8!$H:$H,3)</f>
        <v>0</v>
      </c>
      <c r="N7" s="5" t="n">
        <f aca="false">SUM(K7,L7,M7)</f>
        <v>3</v>
      </c>
      <c r="O7" s="5" t="n">
        <f aca="false">COUNTIFS(Olympiade_1!$B:$B, $B7, Olympiade_1!$A:$A,1)+COUNTIFS(Olympiade_2!$B:$B, $B7, Olympiade_2!$A:$A,1)+COUNTIFS(Olympiade_3!$B:$B, $B7, Olympiade_3!$A:$A,1)+COUNTIFS(Olympiade_4!$B:$B, $B7, Olympiade_4!$A:$A,1)+COUNTIFS(Olympiade_5!$B:$B, $B7, Olympiade_5!$A:$A,1)+COUNTIFS(Olympiade_6!$B:$B, $B7, Olympiade_6!$A:$A,1)+COUNTIFS(Olympiade_7!$B:$B, $B7, Olympiade_7!$A:$A,1)+COUNTIFS(Olympiade_8!$B:$B, $B7, Olympiade_8!$A:$A,1)</f>
        <v>1</v>
      </c>
      <c r="P7" s="5" t="n">
        <f aca="false">COUNTIFS(Olympiade_1!$B:$B, $B7, Olympiade_1!$A:$A,2)+COUNTIFS(Olympiade_2!$B:$B, $B7, Olympiade_2!$A:$A,2)+COUNTIFS(Olympiade_3!$B:$B, $B7, Olympiade_3!$A:$A,2)+COUNTIFS(Olympiade_4!$B:$B, $B7, Olympiade_4!$A:$A,2)+COUNTIFS(Olympiade_5!$B:$B, $B7, Olympiade_5!$A:$A,2)+COUNTIFS(Olympiade_6!$B:$B, $B7, Olympiade_6!$A:$A,2)+COUNTIFS(Olympiade_7!$B:$B, $B7, Olympiade_7!$A:$A,2)+COUNTIFS(Olympiade_8!$B:$B, $B7, Olympiade_8!$A:$A,2)</f>
        <v>1</v>
      </c>
      <c r="Q7" s="5" t="n">
        <f aca="false">COUNTIFS(Olympiade_1!$B:$B, $B7, Olympiade_1!$A:$A,3)+COUNTIFS(Olympiade_2!$B:$B, $B7, Olympiade_2!$A:$A,3)+COUNTIFS(Olympiade_3!$B:$B, $B7, Olympiade_3!$A:$A,3)+COUNTIFS(Olympiade_4!$B:$B, $B7, Olympiade_4!$A:$A,3)+COUNTIFS(Olympiade_5!$B:$B, $B7, Olympiade_5!$A:$A,3)+COUNTIFS(Olympiade_6!$B:$B, $B7, Olympiade_6!$A:$A,3)+COUNTIFS(Olympiade_7!$B:$B, $B7, Olympiade_7!$A:$A,3)+COUNTIFS(Olympiade_8!$B:$B, $B7, Olympiade_8!$A:$A,3)</f>
        <v>1</v>
      </c>
      <c r="R7" s="5" t="n">
        <f aca="false">SUM(O7,P7,Q7)</f>
        <v>3</v>
      </c>
      <c r="S7" s="5" t="n">
        <f aca="false">SUM(C7,G7,K7,O7)</f>
        <v>4</v>
      </c>
      <c r="T7" s="5" t="n">
        <f aca="false">SUM(D7,H7,L7,P7)</f>
        <v>5</v>
      </c>
      <c r="U7" s="5" t="n">
        <f aca="false">SUM(E7,I7,M7,Q7)</f>
        <v>2</v>
      </c>
      <c r="V7" s="5" t="n">
        <f aca="false">SUM(S7,T7,U7)</f>
        <v>11</v>
      </c>
      <c r="W7" s="5" t="n">
        <f aca="false">SUMIFS(Database!B:B,Database!A:A,B7) + SUMIFS(Database!F:F,Database!A:A,B7)</f>
        <v>230</v>
      </c>
      <c r="X7" s="5" t="e">
        <f aca="false" t="array" ref="X7:X7">AVERAGE(xlookup(B7, Database!K:K, Database!L:N,NA()))</f>
        <v>#N/A</v>
      </c>
    </row>
    <row r="8" customFormat="false" ht="15" hidden="false" customHeight="false" outlineLevel="0" collapsed="false">
      <c r="A8" s="5" t="n">
        <v>8</v>
      </c>
      <c r="B8" s="5" t="s">
        <v>13</v>
      </c>
      <c r="C8" s="5" t="n">
        <f aca="false">COUNTIFS(Olympiade_1!$B:$B,$B8,Olympiade_1!$F:$F,1)+COUNTIFS(Olympiade_2!$B:$B,$B8,Olympiade_2!$F:$F,1)+COUNTIFS(Olympiade_3!$B:$B,$B8,Olympiade_3!$F:$F,1)+COUNTIFS(Olympiade_4!$B:$B,$B8,Olympiade_4!$F:$F,1)+COUNTIFS(Olympiade_5!$B:$B,$B8,Olympiade_5!$F:$F,1)+COUNTIFS(Olympiade_6!$B:$B,$B8,Olympiade_6!$F:$F,1)+COUNTIFS(Olympiade_7!$B:$B,$B8,Olympiade_7!$F:$F,1)+COUNTIFS(Olympiade_8!$B:$B,$B8,Olympiade_8!$F:$F,1)</f>
        <v>0</v>
      </c>
      <c r="D8" s="5" t="n">
        <f aca="false">COUNTIFS(Olympiade_1!$B:$B, $B8, Olympiade_1!$F:$F,2)+COUNTIFS(Olympiade_2!$B:$B, $B8, Olympiade_2!$F:$F,2)+COUNTIFS(Olympiade_3!$B:$B, $B8, Olympiade_3!$F:$F,2)+COUNTIFS(Olympiade_4!$B:$B, $B8, Olympiade_4!$F:$F,2)+COUNTIFS(Olympiade_5!$B:$B, $B8, Olympiade_5!$F:$F,2)+COUNTIFS(Olympiade_6!$B:$B, $B8, Olympiade_6!$F:$F,2)+COUNTIFS(Olympiade_7!$B:$B, $B8, Olympiade_7!$F:$F,2)+COUNTIFS(Olympiade_8!$B:$B, $B8, Olympiade_8!$F:$F,2)</f>
        <v>0</v>
      </c>
      <c r="E8" s="5" t="n">
        <f aca="false">COUNTIFS(Olympiade_1!$B:$B, $B8, Olympiade_1!$F:$F,3)+COUNTIFS(Olympiade_2!$B:$B, $B8, Olympiade_2!$F:$F,3)+COUNTIFS(Olympiade_3!$B:$B, $B8, Olympiade_3!$F:$F,3)+COUNTIFS(Olympiade_4!$B:$B, $B8, Olympiade_4!$F:$F,3)+COUNTIFS(Olympiade_5!$B:$B, $B8, Olympiade_5!$F:$F,3)+COUNTIFS(Olympiade_6!$B:$B, $B8, Olympiade_6!$F:$F,3)+COUNTIFS(Olympiade_7!$B:$B, $B8, Olympiade_7!$F:$F,3)+COUNTIFS(Olympiade_8!$B:$B, $B8, Olympiade_8!$F:$F,3)</f>
        <v>1</v>
      </c>
      <c r="F8" s="5" t="n">
        <f aca="false">SUM(C8,D8,E8)</f>
        <v>1</v>
      </c>
      <c r="G8" s="5" t="n">
        <f aca="false">COUNTIFS(Olympiade_1!$B:$B, $B8, Olympiade_1!$G:$G,1)+COUNTIFS(Olympiade_2!$B:$B, $B8, Olympiade_2!$G:$G,1)+COUNTIFS(Olympiade_3!$B:$B, $B8, Olympiade_3!$G:$G,1)+COUNTIFS(Olympiade_4!$B:$B, $B8, Olympiade_4!$G:$G,1)+COUNTIFS(Olympiade_5!$B:$B, $B8, Olympiade_5!$G:$G,1)+COUNTIFS(Olympiade_6!$B:$B, $B8, Olympiade_6!$G:$G,1)+COUNTIFS(Olympiade_7!$B:$B, $B8, Olympiade_7!$G:$G,1)+COUNTIFS(Olympiade_8!$B:$B, $B8, Olympiade_8!$G:$G,1)</f>
        <v>2</v>
      </c>
      <c r="H8" s="5" t="n">
        <f aca="false">COUNTIFS(Olympiade_1!$B:$B, $B8, Olympiade_1!$G:$G,2)+COUNTIFS(Olympiade_2!$B:$B, $B8, Olympiade_2!$G:$G,2)+COUNTIFS(Olympiade_3!$B:$B, $B8, Olympiade_3!$G:$G,2)+COUNTIFS(Olympiade_4!$B:$B, $B8, Olympiade_4!$G:$G,2)+COUNTIFS(Olympiade_5!$B:$B, $B8, Olympiade_5!$G:$G,2)+COUNTIFS(Olympiade_6!$B:$B, $B8, Olympiade_6!$G:$G,2)+COUNTIFS(Olympiade_7!$B:$B, $B8, Olympiade_7!$G:$G,2)+COUNTIFS(Olympiade_8!$B:$B, $B8, Olympiade_8!$G:$G,2)</f>
        <v>0</v>
      </c>
      <c r="I8" s="5" t="n">
        <f aca="false">COUNTIFS(Olympiade_1!$B:$B, $B8, Olympiade_1!$G:$G,3)+COUNTIFS(Olympiade_2!$B:$B, $B8, Olympiade_2!$G:$G,3)+COUNTIFS(Olympiade_3!$B:$B, $B8, Olympiade_3!$G:$G,3)+COUNTIFS(Olympiade_4!$B:$B, $B8, Olympiade_4!$G:$G,3)+COUNTIFS(Olympiade_5!$B:$B, $B8, Olympiade_5!$G:$G,3)+COUNTIFS(Olympiade_6!$B:$B, $B8, Olympiade_6!$G:$G,3)+COUNTIFS(Olympiade_7!$B:$B, $B8, Olympiade_7!$G:$G,3)+COUNTIFS(Olympiade_8!$B:$B, $B8, Olympiade_8!$G:$G,3)</f>
        <v>0</v>
      </c>
      <c r="J8" s="5" t="n">
        <f aca="false">SUM(G8,H8,I8)</f>
        <v>2</v>
      </c>
      <c r="K8" s="5" t="n">
        <f aca="false">COUNTIFS(Olympiade_1!$B:$B, $B8, Olympiade_1!$H:$H,1)+COUNTIFS(Olympiade_2!$B:$B, $B8, Olympiade_2!$H:$H,1)+COUNTIFS(Olympiade_3!$B:$B, $B8, Olympiade_3!$H:$H,1)+COUNTIFS(Olympiade_4!$B:$B, $B8, Olympiade_4!$H:$H,1)+COUNTIFS(Olympiade_5!$B:$B, $B8, Olympiade_5!$H:$H,1)+COUNTIFS(Olympiade_6!$B:$B, $B8, Olympiade_6!$H:$H,1)+COUNTIFS(Olympiade_7!$B:$B, $B8, Olympiade_7!$H:$H,1)+COUNTIFS(Olympiade_8!$B:$B, $B8, Olympiade_8!$H:$H,1)</f>
        <v>1</v>
      </c>
      <c r="L8" s="5" t="n">
        <f aca="false">COUNTIFS(Olympiade_1!$B:$B, $B8, Olympiade_1!$H:$H,2)+COUNTIFS(Olympiade_2!$B:$B, $B8, Olympiade_2!$H:$H,2)+COUNTIFS(Olympiade_3!$B:$B, $B8, Olympiade_3!$H:$H,2)+COUNTIFS(Olympiade_4!$B:$B, $B8, Olympiade_4!$H:$H,2)+COUNTIFS(Olympiade_5!$B:$B, $B8, Olympiade_5!$H:$H,2)+COUNTIFS(Olympiade_6!$B:$B, $B8, Olympiade_6!$H:$H,2)+COUNTIFS(Olympiade_7!$B:$B, $B8, Olympiade_7!$H:$H,2)+COUNTIFS(Olympiade_8!$B:$B, $B8, Olympiade_8!$H:$H,2)</f>
        <v>1</v>
      </c>
      <c r="M8" s="5" t="n">
        <f aca="false">COUNTIFS(Olympiade_1!$B:$B, $B8, Olympiade_1!$H:$H,3)+COUNTIFS(Olympiade_2!$B:$B, $B8, Olympiade_2!$H:$H,3)+COUNTIFS(Olympiade_3!$B:$B, $B8, Olympiade_3!$H:$H,3)+COUNTIFS(Olympiade_4!$B:$B, $B8, Olympiade_4!$H:$H,3)+COUNTIFS(Olympiade_5!$B:$B, $B8, Olympiade_5!$H:$H,3)+COUNTIFS(Olympiade_6!$B:$B, $B8, Olympiade_6!$H:$H,3)+COUNTIFS(Olympiade_7!$B:$B, $B8, Olympiade_7!$H:$H,3)+COUNTIFS(Olympiade_8!$B:$B, $B8, Olympiade_8!$H:$H,3)</f>
        <v>0</v>
      </c>
      <c r="N8" s="5" t="n">
        <f aca="false">SUM(K8,L8,M8)</f>
        <v>2</v>
      </c>
      <c r="O8" s="5" t="n">
        <f aca="false">COUNTIFS(Olympiade_1!$B:$B, $B8, Olympiade_1!$A:$A,1)+COUNTIFS(Olympiade_2!$B:$B, $B8, Olympiade_2!$A:$A,1)+COUNTIFS(Olympiade_3!$B:$B, $B8, Olympiade_3!$A:$A,1)+COUNTIFS(Olympiade_4!$B:$B, $B8, Olympiade_4!$A:$A,1)+COUNTIFS(Olympiade_5!$B:$B, $B8, Olympiade_5!$A:$A,1)+COUNTIFS(Olympiade_6!$B:$B, $B8, Olympiade_6!$A:$A,1)+COUNTIFS(Olympiade_7!$B:$B, $B8, Olympiade_7!$A:$A,1)+COUNTIFS(Olympiade_8!$B:$B, $B8, Olympiade_8!$A:$A,1)</f>
        <v>1</v>
      </c>
      <c r="P8" s="5" t="n">
        <f aca="false">COUNTIFS(Olympiade_1!$B:$B, $B8, Olympiade_1!$A:$A,2)+COUNTIFS(Olympiade_2!$B:$B, $B8, Olympiade_2!$A:$A,2)+COUNTIFS(Olympiade_3!$B:$B, $B8, Olympiade_3!$A:$A,2)+COUNTIFS(Olympiade_4!$B:$B, $B8, Olympiade_4!$A:$A,2)+COUNTIFS(Olympiade_5!$B:$B, $B8, Olympiade_5!$A:$A,2)+COUNTIFS(Olympiade_6!$B:$B, $B8, Olympiade_6!$A:$A,2)+COUNTIFS(Olympiade_7!$B:$B, $B8, Olympiade_7!$A:$A,2)+COUNTIFS(Olympiade_8!$B:$B, $B8, Olympiade_8!$A:$A,2)</f>
        <v>1</v>
      </c>
      <c r="Q8" s="5" t="n">
        <f aca="false">COUNTIFS(Olympiade_1!$B:$B, $B8, Olympiade_1!$A:$A,3)+COUNTIFS(Olympiade_2!$B:$B, $B8, Olympiade_2!$A:$A,3)+COUNTIFS(Olympiade_3!$B:$B, $B8, Olympiade_3!$A:$A,3)+COUNTIFS(Olympiade_4!$B:$B, $B8, Olympiade_4!$A:$A,3)+COUNTIFS(Olympiade_5!$B:$B, $B8, Olympiade_5!$A:$A,3)+COUNTIFS(Olympiade_6!$B:$B, $B8, Olympiade_6!$A:$A,3)+COUNTIFS(Olympiade_7!$B:$B, $B8, Olympiade_7!$A:$A,3)+COUNTIFS(Olympiade_8!$B:$B, $B8, Olympiade_8!$A:$A,3)</f>
        <v>0</v>
      </c>
      <c r="R8" s="5" t="n">
        <f aca="false">SUM(O8,P8,Q8)</f>
        <v>2</v>
      </c>
      <c r="S8" s="5" t="n">
        <f aca="false">SUM(C8,G8,K8,O8)</f>
        <v>4</v>
      </c>
      <c r="T8" s="5" t="n">
        <f aca="false">SUM(D8,H8,L8,P8)</f>
        <v>2</v>
      </c>
      <c r="U8" s="5" t="n">
        <f aca="false">SUM(E8,I8,M8,Q8)</f>
        <v>1</v>
      </c>
      <c r="V8" s="5" t="n">
        <f aca="false">SUM(S8,T8,U8)</f>
        <v>7</v>
      </c>
      <c r="W8" s="5" t="n">
        <f aca="false">SUMIFS(Database!B:B,Database!A:A,B8) + SUMIFS(Database!F:F,Database!A:A,B8)</f>
        <v>210</v>
      </c>
      <c r="X8" s="5" t="e">
        <f aca="false" t="array" ref="X8:X8">AVERAGE(xlookup(B8, Database!K:K, Database!L:N,NA()))</f>
        <v>#N/A</v>
      </c>
    </row>
    <row r="9" customFormat="false" ht="15" hidden="false" customHeight="false" outlineLevel="0" collapsed="false">
      <c r="A9" s="5" t="n">
        <v>9</v>
      </c>
      <c r="B9" s="5" t="s">
        <v>15</v>
      </c>
      <c r="C9" s="5" t="n">
        <f aca="false">COUNTIFS(Olympiade_1!$B:$B,$B9,Olympiade_1!$F:$F,1)+COUNTIFS(Olympiade_2!$B:$B,$B9,Olympiade_2!$F:$F,1)+COUNTIFS(Olympiade_3!$B:$B,$B9,Olympiade_3!$F:$F,1)+COUNTIFS(Olympiade_4!$B:$B,$B9,Olympiade_4!$F:$F,1)+COUNTIFS(Olympiade_5!$B:$B,$B9,Olympiade_5!$F:$F,1)+COUNTIFS(Olympiade_6!$B:$B,$B9,Olympiade_6!$F:$F,1)+COUNTIFS(Olympiade_7!$B:$B,$B9,Olympiade_7!$F:$F,1)+COUNTIFS(Olympiade_8!$B:$B,$B9,Olympiade_8!$F:$F,1)</f>
        <v>1</v>
      </c>
      <c r="D9" s="5" t="n">
        <f aca="false">COUNTIFS(Olympiade_1!$B:$B, $B9, Olympiade_1!$F:$F,2)+COUNTIFS(Olympiade_2!$B:$B, $B9, Olympiade_2!$F:$F,2)+COUNTIFS(Olympiade_3!$B:$B, $B9, Olympiade_3!$F:$F,2)+COUNTIFS(Olympiade_4!$B:$B, $B9, Olympiade_4!$F:$F,2)+COUNTIFS(Olympiade_5!$B:$B, $B9, Olympiade_5!$F:$F,2)+COUNTIFS(Olympiade_6!$B:$B, $B9, Olympiade_6!$F:$F,2)+COUNTIFS(Olympiade_7!$B:$B, $B9, Olympiade_7!$F:$F,2)+COUNTIFS(Olympiade_8!$B:$B, $B9, Olympiade_8!$F:$F,2)</f>
        <v>1</v>
      </c>
      <c r="E9" s="5" t="n">
        <f aca="false">COUNTIFS(Olympiade_1!$B:$B, $B9, Olympiade_1!$F:$F,3)+COUNTIFS(Olympiade_2!$B:$B, $B9, Olympiade_2!$F:$F,3)+COUNTIFS(Olympiade_3!$B:$B, $B9, Olympiade_3!$F:$F,3)+COUNTIFS(Olympiade_4!$B:$B, $B9, Olympiade_4!$F:$F,3)+COUNTIFS(Olympiade_5!$B:$B, $B9, Olympiade_5!$F:$F,3)+COUNTIFS(Olympiade_6!$B:$B, $B9, Olympiade_6!$F:$F,3)+COUNTIFS(Olympiade_7!$B:$B, $B9, Olympiade_7!$F:$F,3)+COUNTIFS(Olympiade_8!$B:$B, $B9, Olympiade_8!$F:$F,3)</f>
        <v>0</v>
      </c>
      <c r="F9" s="5" t="n">
        <f aca="false">SUM(C9,D9,E9)</f>
        <v>2</v>
      </c>
      <c r="G9" s="5" t="n">
        <f aca="false">COUNTIFS(Olympiade_1!$B:$B, $B9, Olympiade_1!$G:$G,1)+COUNTIFS(Olympiade_2!$B:$B, $B9, Olympiade_2!$G:$G,1)+COUNTIFS(Olympiade_3!$B:$B, $B9, Olympiade_3!$G:$G,1)+COUNTIFS(Olympiade_4!$B:$B, $B9, Olympiade_4!$G:$G,1)+COUNTIFS(Olympiade_5!$B:$B, $B9, Olympiade_5!$G:$G,1)+COUNTIFS(Olympiade_6!$B:$B, $B9, Olympiade_6!$G:$G,1)+COUNTIFS(Olympiade_7!$B:$B, $B9, Olympiade_7!$G:$G,1)+COUNTIFS(Olympiade_8!$B:$B, $B9, Olympiade_8!$G:$G,1)</f>
        <v>1</v>
      </c>
      <c r="H9" s="5" t="n">
        <f aca="false">COUNTIFS(Olympiade_1!$B:$B, $B9, Olympiade_1!$G:$G,2)+COUNTIFS(Olympiade_2!$B:$B, $B9, Olympiade_2!$G:$G,2)+COUNTIFS(Olympiade_3!$B:$B, $B9, Olympiade_3!$G:$G,2)+COUNTIFS(Olympiade_4!$B:$B, $B9, Olympiade_4!$G:$G,2)+COUNTIFS(Olympiade_5!$B:$B, $B9, Olympiade_5!$G:$G,2)+COUNTIFS(Olympiade_6!$B:$B, $B9, Olympiade_6!$G:$G,2)+COUNTIFS(Olympiade_7!$B:$B, $B9, Olympiade_7!$G:$G,2)+COUNTIFS(Olympiade_8!$B:$B, $B9, Olympiade_8!$G:$G,2)</f>
        <v>0</v>
      </c>
      <c r="I9" s="5" t="n">
        <f aca="false">COUNTIFS(Olympiade_1!$B:$B, $B9, Olympiade_1!$G:$G,3)+COUNTIFS(Olympiade_2!$B:$B, $B9, Olympiade_2!$G:$G,3)+COUNTIFS(Olympiade_3!$B:$B, $B9, Olympiade_3!$G:$G,3)+COUNTIFS(Olympiade_4!$B:$B, $B9, Olympiade_4!$G:$G,3)+COUNTIFS(Olympiade_5!$B:$B, $B9, Olympiade_5!$G:$G,3)+COUNTIFS(Olympiade_6!$B:$B, $B9, Olympiade_6!$G:$G,3)+COUNTIFS(Olympiade_7!$B:$B, $B9, Olympiade_7!$G:$G,3)+COUNTIFS(Olympiade_8!$B:$B, $B9, Olympiade_8!$G:$G,3)</f>
        <v>0</v>
      </c>
      <c r="J9" s="5" t="n">
        <f aca="false">SUM(G9,H9,I9)</f>
        <v>1</v>
      </c>
      <c r="K9" s="5" t="n">
        <f aca="false">COUNTIFS(Olympiade_1!$B:$B, $B9, Olympiade_1!$H:$H,1)+COUNTIFS(Olympiade_2!$B:$B, $B9, Olympiade_2!$H:$H,1)+COUNTIFS(Olympiade_3!$B:$B, $B9, Olympiade_3!$H:$H,1)+COUNTIFS(Olympiade_4!$B:$B, $B9, Olympiade_4!$H:$H,1)+COUNTIFS(Olympiade_5!$B:$B, $B9, Olympiade_5!$H:$H,1)+COUNTIFS(Olympiade_6!$B:$B, $B9, Olympiade_6!$H:$H,1)+COUNTIFS(Olympiade_7!$B:$B, $B9, Olympiade_7!$H:$H,1)+COUNTIFS(Olympiade_8!$B:$B, $B9, Olympiade_8!$H:$H,1)</f>
        <v>0</v>
      </c>
      <c r="L9" s="5" t="n">
        <f aca="false">COUNTIFS(Olympiade_1!$B:$B, $B9, Olympiade_1!$H:$H,2)+COUNTIFS(Olympiade_2!$B:$B, $B9, Olympiade_2!$H:$H,2)+COUNTIFS(Olympiade_3!$B:$B, $B9, Olympiade_3!$H:$H,2)+COUNTIFS(Olympiade_4!$B:$B, $B9, Olympiade_4!$H:$H,2)+COUNTIFS(Olympiade_5!$B:$B, $B9, Olympiade_5!$H:$H,2)+COUNTIFS(Olympiade_6!$B:$B, $B9, Olympiade_6!$H:$H,2)+COUNTIFS(Olympiade_7!$B:$B, $B9, Olympiade_7!$H:$H,2)+COUNTIFS(Olympiade_8!$B:$B, $B9, Olympiade_8!$H:$H,2)</f>
        <v>0</v>
      </c>
      <c r="M9" s="5" t="n">
        <f aca="false">COUNTIFS(Olympiade_1!$B:$B, $B9, Olympiade_1!$H:$H,3)+COUNTIFS(Olympiade_2!$B:$B, $B9, Olympiade_2!$H:$H,3)+COUNTIFS(Olympiade_3!$B:$B, $B9, Olympiade_3!$H:$H,3)+COUNTIFS(Olympiade_4!$B:$B, $B9, Olympiade_4!$H:$H,3)+COUNTIFS(Olympiade_5!$B:$B, $B9, Olympiade_5!$H:$H,3)+COUNTIFS(Olympiade_6!$B:$B, $B9, Olympiade_6!$H:$H,3)+COUNTIFS(Olympiade_7!$B:$B, $B9, Olympiade_7!$H:$H,3)+COUNTIFS(Olympiade_8!$B:$B, $B9, Olympiade_8!$H:$H,3)</f>
        <v>1</v>
      </c>
      <c r="N9" s="5" t="n">
        <f aca="false">SUM(K9,L9,M9)</f>
        <v>1</v>
      </c>
      <c r="O9" s="5" t="n">
        <f aca="false">COUNTIFS(Olympiade_1!$B:$B, $B9, Olympiade_1!$A:$A,1)+COUNTIFS(Olympiade_2!$B:$B, $B9, Olympiade_2!$A:$A,1)+COUNTIFS(Olympiade_3!$B:$B, $B9, Olympiade_3!$A:$A,1)+COUNTIFS(Olympiade_4!$B:$B, $B9, Olympiade_4!$A:$A,1)+COUNTIFS(Olympiade_5!$B:$B, $B9, Olympiade_5!$A:$A,1)+COUNTIFS(Olympiade_6!$B:$B, $B9, Olympiade_6!$A:$A,1)+COUNTIFS(Olympiade_7!$B:$B, $B9, Olympiade_7!$A:$A,1)+COUNTIFS(Olympiade_8!$B:$B, $B9, Olympiade_8!$A:$A,1)</f>
        <v>1</v>
      </c>
      <c r="P9" s="5" t="n">
        <f aca="false">COUNTIFS(Olympiade_1!$B:$B, $B9, Olympiade_1!$A:$A,2)+COUNTIFS(Olympiade_2!$B:$B, $B9, Olympiade_2!$A:$A,2)+COUNTIFS(Olympiade_3!$B:$B, $B9, Olympiade_3!$A:$A,2)+COUNTIFS(Olympiade_4!$B:$B, $B9, Olympiade_4!$A:$A,2)+COUNTIFS(Olympiade_5!$B:$B, $B9, Olympiade_5!$A:$A,2)+COUNTIFS(Olympiade_6!$B:$B, $B9, Olympiade_6!$A:$A,2)+COUNTIFS(Olympiade_7!$B:$B, $B9, Olympiade_7!$A:$A,2)+COUNTIFS(Olympiade_8!$B:$B, $B9, Olympiade_8!$A:$A,2)</f>
        <v>1</v>
      </c>
      <c r="Q9" s="5" t="n">
        <f aca="false">COUNTIFS(Olympiade_1!$B:$B, $B9, Olympiade_1!$A:$A,3)+COUNTIFS(Olympiade_2!$B:$B, $B9, Olympiade_2!$A:$A,3)+COUNTIFS(Olympiade_3!$B:$B, $B9, Olympiade_3!$A:$A,3)+COUNTIFS(Olympiade_4!$B:$B, $B9, Olympiade_4!$A:$A,3)+COUNTIFS(Olympiade_5!$B:$B, $B9, Olympiade_5!$A:$A,3)+COUNTIFS(Olympiade_6!$B:$B, $B9, Olympiade_6!$A:$A,3)+COUNTIFS(Olympiade_7!$B:$B, $B9, Olympiade_7!$A:$A,3)+COUNTIFS(Olympiade_8!$B:$B, $B9, Olympiade_8!$A:$A,3)</f>
        <v>0</v>
      </c>
      <c r="R9" s="5" t="n">
        <f aca="false">SUM(O9,P9,Q9)</f>
        <v>2</v>
      </c>
      <c r="S9" s="5" t="n">
        <f aca="false">SUM(C9,G9,K9,O9)</f>
        <v>3</v>
      </c>
      <c r="T9" s="5" t="n">
        <f aca="false">SUM(D9,H9,L9,P9)</f>
        <v>2</v>
      </c>
      <c r="U9" s="5" t="n">
        <f aca="false">SUM(E9,I9,M9,Q9)</f>
        <v>1</v>
      </c>
      <c r="V9" s="5" t="n">
        <f aca="false">SUM(S9,T9,U9)</f>
        <v>6</v>
      </c>
      <c r="W9" s="5" t="n">
        <f aca="false">SUMIFS(Database!B:B,Database!A:A,B9) + SUMIFS(Database!F:F,Database!A:A,B9)</f>
        <v>160</v>
      </c>
      <c r="X9" s="5" t="e">
        <f aca="false" t="array" ref="X9:X9">AVERAGE(xlookup(B9, Database!K:K, Database!L:N,NA()))</f>
        <v>#N/A</v>
      </c>
    </row>
    <row r="10" customFormat="false" ht="15" hidden="false" customHeight="false" outlineLevel="0" collapsed="false">
      <c r="A10" s="5" t="n">
        <v>10</v>
      </c>
      <c r="B10" s="5" t="s">
        <v>14</v>
      </c>
      <c r="C10" s="5" t="n">
        <f aca="false">COUNTIFS(Olympiade_1!$B:$B,$B10,Olympiade_1!$F:$F,1)+COUNTIFS(Olympiade_2!$B:$B,$B10,Olympiade_2!$F:$F,1)+COUNTIFS(Olympiade_3!$B:$B,$B10,Olympiade_3!$F:$F,1)+COUNTIFS(Olympiade_4!$B:$B,$B10,Olympiade_4!$F:$F,1)+COUNTIFS(Olympiade_5!$B:$B,$B10,Olympiade_5!$F:$F,1)+COUNTIFS(Olympiade_6!$B:$B,$B10,Olympiade_6!$F:$F,1)+COUNTIFS(Olympiade_7!$B:$B,$B10,Olympiade_7!$F:$F,1)+COUNTIFS(Olympiade_8!$B:$B,$B10,Olympiade_8!$F:$F,1)</f>
        <v>0</v>
      </c>
      <c r="D10" s="5" t="n">
        <f aca="false">COUNTIFS(Olympiade_1!$B:$B, $B10, Olympiade_1!$F:$F,2)+COUNTIFS(Olympiade_2!$B:$B, $B10, Olympiade_2!$F:$F,2)+COUNTIFS(Olympiade_3!$B:$B, $B10, Olympiade_3!$F:$F,2)+COUNTIFS(Olympiade_4!$B:$B, $B10, Olympiade_4!$F:$F,2)+COUNTIFS(Olympiade_5!$B:$B, $B10, Olympiade_5!$F:$F,2)+COUNTIFS(Olympiade_6!$B:$B, $B10, Olympiade_6!$F:$F,2)+COUNTIFS(Olympiade_7!$B:$B, $B10, Olympiade_7!$F:$F,2)+COUNTIFS(Olympiade_8!$B:$B, $B10, Olympiade_8!$F:$F,2)</f>
        <v>0</v>
      </c>
      <c r="E10" s="5" t="n">
        <f aca="false">COUNTIFS(Olympiade_1!$B:$B, $B10, Olympiade_1!$F:$F,3)+COUNTIFS(Olympiade_2!$B:$B, $B10, Olympiade_2!$F:$F,3)+COUNTIFS(Olympiade_3!$B:$B, $B10, Olympiade_3!$F:$F,3)+COUNTIFS(Olympiade_4!$B:$B, $B10, Olympiade_4!$F:$F,3)+COUNTIFS(Olympiade_5!$B:$B, $B10, Olympiade_5!$F:$F,3)+COUNTIFS(Olympiade_6!$B:$B, $B10, Olympiade_6!$F:$F,3)+COUNTIFS(Olympiade_7!$B:$B, $B10, Olympiade_7!$F:$F,3)+COUNTIFS(Olympiade_8!$B:$B, $B10, Olympiade_8!$F:$F,3)</f>
        <v>1</v>
      </c>
      <c r="F10" s="5" t="n">
        <f aca="false">SUM(C10,D10,E10)</f>
        <v>1</v>
      </c>
      <c r="G10" s="5" t="n">
        <f aca="false">COUNTIFS(Olympiade_1!$B:$B, $B10, Olympiade_1!$G:$G,1)+COUNTIFS(Olympiade_2!$B:$B, $B10, Olympiade_2!$G:$G,1)+COUNTIFS(Olympiade_3!$B:$B, $B10, Olympiade_3!$G:$G,1)+COUNTIFS(Olympiade_4!$B:$B, $B10, Olympiade_4!$G:$G,1)+COUNTIFS(Olympiade_5!$B:$B, $B10, Olympiade_5!$G:$G,1)+COUNTIFS(Olympiade_6!$B:$B, $B10, Olympiade_6!$G:$G,1)+COUNTIFS(Olympiade_7!$B:$B, $B10, Olympiade_7!$G:$G,1)+COUNTIFS(Olympiade_8!$B:$B, $B10, Olympiade_8!$G:$G,1)</f>
        <v>1</v>
      </c>
      <c r="H10" s="5" t="n">
        <f aca="false">COUNTIFS(Olympiade_1!$B:$B, $B10, Olympiade_1!$G:$G,2)+COUNTIFS(Olympiade_2!$B:$B, $B10, Olympiade_2!$G:$G,2)+COUNTIFS(Olympiade_3!$B:$B, $B10, Olympiade_3!$G:$G,2)+COUNTIFS(Olympiade_4!$B:$B, $B10, Olympiade_4!$G:$G,2)+COUNTIFS(Olympiade_5!$B:$B, $B10, Olympiade_5!$G:$G,2)+COUNTIFS(Olympiade_6!$B:$B, $B10, Olympiade_6!$G:$G,2)+COUNTIFS(Olympiade_7!$B:$B, $B10, Olympiade_7!$G:$G,2)+COUNTIFS(Olympiade_8!$B:$B, $B10, Olympiade_8!$G:$G,2)</f>
        <v>0</v>
      </c>
      <c r="I10" s="5" t="n">
        <f aca="false">COUNTIFS(Olympiade_1!$B:$B, $B10, Olympiade_1!$G:$G,3)+COUNTIFS(Olympiade_2!$B:$B, $B10, Olympiade_2!$G:$G,3)+COUNTIFS(Olympiade_3!$B:$B, $B10, Olympiade_3!$G:$G,3)+COUNTIFS(Olympiade_4!$B:$B, $B10, Olympiade_4!$G:$G,3)+COUNTIFS(Olympiade_5!$B:$B, $B10, Olympiade_5!$G:$G,3)+COUNTIFS(Olympiade_6!$B:$B, $B10, Olympiade_6!$G:$G,3)+COUNTIFS(Olympiade_7!$B:$B, $B10, Olympiade_7!$G:$G,3)+COUNTIFS(Olympiade_8!$B:$B, $B10, Olympiade_8!$G:$G,3)</f>
        <v>0</v>
      </c>
      <c r="J10" s="5" t="n">
        <f aca="false">SUM(G10,H10,I10)</f>
        <v>1</v>
      </c>
      <c r="K10" s="5" t="n">
        <f aca="false">COUNTIFS(Olympiade_1!$B:$B, $B10, Olympiade_1!$H:$H,1)+COUNTIFS(Olympiade_2!$B:$B, $B10, Olympiade_2!$H:$H,1)+COUNTIFS(Olympiade_3!$B:$B, $B10, Olympiade_3!$H:$H,1)+COUNTIFS(Olympiade_4!$B:$B, $B10, Olympiade_4!$H:$H,1)+COUNTIFS(Olympiade_5!$B:$B, $B10, Olympiade_5!$H:$H,1)+COUNTIFS(Olympiade_6!$B:$B, $B10, Olympiade_6!$H:$H,1)+COUNTIFS(Olympiade_7!$B:$B, $B10, Olympiade_7!$H:$H,1)+COUNTIFS(Olympiade_8!$B:$B, $B10, Olympiade_8!$H:$H,1)</f>
        <v>0</v>
      </c>
      <c r="L10" s="5" t="n">
        <f aca="false">COUNTIFS(Olympiade_1!$B:$B, $B10, Olympiade_1!$H:$H,2)+COUNTIFS(Olympiade_2!$B:$B, $B10, Olympiade_2!$H:$H,2)+COUNTIFS(Olympiade_3!$B:$B, $B10, Olympiade_3!$H:$H,2)+COUNTIFS(Olympiade_4!$B:$B, $B10, Olympiade_4!$H:$H,2)+COUNTIFS(Olympiade_5!$B:$B, $B10, Olympiade_5!$H:$H,2)+COUNTIFS(Olympiade_6!$B:$B, $B10, Olympiade_6!$H:$H,2)+COUNTIFS(Olympiade_7!$B:$B, $B10, Olympiade_7!$H:$H,2)+COUNTIFS(Olympiade_8!$B:$B, $B10, Olympiade_8!$H:$H,2)</f>
        <v>1</v>
      </c>
      <c r="M10" s="5" t="n">
        <f aca="false">COUNTIFS(Olympiade_1!$B:$B, $B10, Olympiade_1!$H:$H,3)+COUNTIFS(Olympiade_2!$B:$B, $B10, Olympiade_2!$H:$H,3)+COUNTIFS(Olympiade_3!$B:$B, $B10, Olympiade_3!$H:$H,3)+COUNTIFS(Olympiade_4!$B:$B, $B10, Olympiade_4!$H:$H,3)+COUNTIFS(Olympiade_5!$B:$B, $B10, Olympiade_5!$H:$H,3)+COUNTIFS(Olympiade_6!$B:$B, $B10, Olympiade_6!$H:$H,3)+COUNTIFS(Olympiade_7!$B:$B, $B10, Olympiade_7!$H:$H,3)+COUNTIFS(Olympiade_8!$B:$B, $B10, Olympiade_8!$H:$H,3)</f>
        <v>1</v>
      </c>
      <c r="N10" s="5" t="n">
        <f aca="false">SUM(K10,L10,M10)</f>
        <v>2</v>
      </c>
      <c r="O10" s="5" t="n">
        <f aca="false">COUNTIFS(Olympiade_1!$B:$B, $B10, Olympiade_1!$A:$A,1)+COUNTIFS(Olympiade_2!$B:$B, $B10, Olympiade_2!$A:$A,1)+COUNTIFS(Olympiade_3!$B:$B, $B10, Olympiade_3!$A:$A,1)+COUNTIFS(Olympiade_4!$B:$B, $B10, Olympiade_4!$A:$A,1)+COUNTIFS(Olympiade_5!$B:$B, $B10, Olympiade_5!$A:$A,1)+COUNTIFS(Olympiade_6!$B:$B, $B10, Olympiade_6!$A:$A,1)+COUNTIFS(Olympiade_7!$B:$B, $B10, Olympiade_7!$A:$A,1)+COUNTIFS(Olympiade_8!$B:$B, $B10, Olympiade_8!$A:$A,1)</f>
        <v>1</v>
      </c>
      <c r="P10" s="5" t="n">
        <f aca="false">COUNTIFS(Olympiade_1!$B:$B, $B10, Olympiade_1!$A:$A,2)+COUNTIFS(Olympiade_2!$B:$B, $B10, Olympiade_2!$A:$A,2)+COUNTIFS(Olympiade_3!$B:$B, $B10, Olympiade_3!$A:$A,2)+COUNTIFS(Olympiade_4!$B:$B, $B10, Olympiade_4!$A:$A,2)+COUNTIFS(Olympiade_5!$B:$B, $B10, Olympiade_5!$A:$A,2)+COUNTIFS(Olympiade_6!$B:$B, $B10, Olympiade_6!$A:$A,2)+COUNTIFS(Olympiade_7!$B:$B, $B10, Olympiade_7!$A:$A,2)+COUNTIFS(Olympiade_8!$B:$B, $B10, Olympiade_8!$A:$A,2)</f>
        <v>0</v>
      </c>
      <c r="Q10" s="5" t="n">
        <f aca="false">COUNTIFS(Olympiade_1!$B:$B, $B10, Olympiade_1!$A:$A,3)+COUNTIFS(Olympiade_2!$B:$B, $B10, Olympiade_2!$A:$A,3)+COUNTIFS(Olympiade_3!$B:$B, $B10, Olympiade_3!$A:$A,3)+COUNTIFS(Olympiade_4!$B:$B, $B10, Olympiade_4!$A:$A,3)+COUNTIFS(Olympiade_5!$B:$B, $B10, Olympiade_5!$A:$A,3)+COUNTIFS(Olympiade_6!$B:$B, $B10, Olympiade_6!$A:$A,3)+COUNTIFS(Olympiade_7!$B:$B, $B10, Olympiade_7!$A:$A,3)+COUNTIFS(Olympiade_8!$B:$B, $B10, Olympiade_8!$A:$A,3)</f>
        <v>1</v>
      </c>
      <c r="R10" s="5" t="n">
        <f aca="false">SUM(O10,P10,Q10)</f>
        <v>2</v>
      </c>
      <c r="S10" s="5" t="n">
        <f aca="false">SUM(C10,G10,K10,O10)</f>
        <v>2</v>
      </c>
      <c r="T10" s="5" t="n">
        <f aca="false">SUM(D10,H10,L10,P10)</f>
        <v>1</v>
      </c>
      <c r="U10" s="5" t="n">
        <f aca="false">SUM(E10,I10,M10,Q10)</f>
        <v>3</v>
      </c>
      <c r="V10" s="5" t="n">
        <f aca="false">SUM(S10,T10,U10)</f>
        <v>6</v>
      </c>
      <c r="W10" s="5" t="n">
        <f aca="false">SUMIFS(Database!B:B,Database!A:A,B10) + SUMIFS(Database!F:F,Database!A:A,B10)</f>
        <v>160</v>
      </c>
      <c r="X10" s="5" t="e">
        <f aca="false" t="array" ref="X10:X10">AVERAGE(xlookup(B10, Database!K:K, Database!L:N,NA()))</f>
        <v>#N/A</v>
      </c>
    </row>
    <row r="11" customFormat="false" ht="15" hidden="false" customHeight="false" outlineLevel="0" collapsed="false">
      <c r="A11" s="5" t="n">
        <v>23</v>
      </c>
      <c r="B11" s="5" t="s">
        <v>28</v>
      </c>
      <c r="C11" s="5" t="n">
        <f aca="false">COUNTIFS(Olympiade_1!$B:$B,$B11,Olympiade_1!$F:$F,1)+COUNTIFS(Olympiade_2!$B:$B,$B11,Olympiade_2!$F:$F,1)+COUNTIFS(Olympiade_3!$B:$B,$B11,Olympiade_3!$F:$F,1)+COUNTIFS(Olympiade_4!$B:$B,$B11,Olympiade_4!$F:$F,1)+COUNTIFS(Olympiade_5!$B:$B,$B11,Olympiade_5!$F:$F,1)+COUNTIFS(Olympiade_6!$B:$B,$B11,Olympiade_6!$F:$F,1)+COUNTIFS(Olympiade_7!$B:$B,$B11,Olympiade_7!$F:$F,1)+COUNTIFS(Olympiade_8!$B:$B,$B11,Olympiade_8!$F:$F,1)</f>
        <v>0</v>
      </c>
      <c r="D11" s="5" t="n">
        <f aca="false">COUNTIFS(Olympiade_1!$B:$B, $B11, Olympiade_1!$F:$F,2)+COUNTIFS(Olympiade_2!$B:$B, $B11, Olympiade_2!$F:$F,2)+COUNTIFS(Olympiade_3!$B:$B, $B11, Olympiade_3!$F:$F,2)+COUNTIFS(Olympiade_4!$B:$B, $B11, Olympiade_4!$F:$F,2)+COUNTIFS(Olympiade_5!$B:$B, $B11, Olympiade_5!$F:$F,2)+COUNTIFS(Olympiade_6!$B:$B, $B11, Olympiade_6!$F:$F,2)+COUNTIFS(Olympiade_7!$B:$B, $B11, Olympiade_7!$F:$F,2)+COUNTIFS(Olympiade_8!$B:$B, $B11, Olympiade_8!$F:$F,2)</f>
        <v>1</v>
      </c>
      <c r="E11" s="5" t="n">
        <f aca="false">COUNTIFS(Olympiade_1!$B:$B, $B11, Olympiade_1!$F:$F,3)+COUNTIFS(Olympiade_2!$B:$B, $B11, Olympiade_2!$F:$F,3)+COUNTIFS(Olympiade_3!$B:$B, $B11, Olympiade_3!$F:$F,3)+COUNTIFS(Olympiade_4!$B:$B, $B11, Olympiade_4!$F:$F,3)+COUNTIFS(Olympiade_5!$B:$B, $B11, Olympiade_5!$F:$F,3)+COUNTIFS(Olympiade_6!$B:$B, $B11, Olympiade_6!$F:$F,3)+COUNTIFS(Olympiade_7!$B:$B, $B11, Olympiade_7!$F:$F,3)+COUNTIFS(Olympiade_8!$B:$B, $B11, Olympiade_8!$F:$F,3)</f>
        <v>0</v>
      </c>
      <c r="F11" s="5" t="n">
        <f aca="false">SUM(C11,D11,E11)</f>
        <v>1</v>
      </c>
      <c r="G11" s="5" t="n">
        <f aca="false">COUNTIFS(Olympiade_1!$B:$B, $B11, Olympiade_1!$G:$G,1)+COUNTIFS(Olympiade_2!$B:$B, $B11, Olympiade_2!$G:$G,1)+COUNTIFS(Olympiade_3!$B:$B, $B11, Olympiade_3!$G:$G,1)+COUNTIFS(Olympiade_4!$B:$B, $B11, Olympiade_4!$G:$G,1)+COUNTIFS(Olympiade_5!$B:$B, $B11, Olympiade_5!$G:$G,1)+COUNTIFS(Olympiade_6!$B:$B, $B11, Olympiade_6!$G:$G,1)+COUNTIFS(Olympiade_7!$B:$B, $B11, Olympiade_7!$G:$G,1)+COUNTIFS(Olympiade_8!$B:$B, $B11, Olympiade_8!$G:$G,1)</f>
        <v>0</v>
      </c>
      <c r="H11" s="5" t="n">
        <f aca="false">COUNTIFS(Olympiade_1!$B:$B, $B11, Olympiade_1!$G:$G,2)+COUNTIFS(Olympiade_2!$B:$B, $B11, Olympiade_2!$G:$G,2)+COUNTIFS(Olympiade_3!$B:$B, $B11, Olympiade_3!$G:$G,2)+COUNTIFS(Olympiade_4!$B:$B, $B11, Olympiade_4!$G:$G,2)+COUNTIFS(Olympiade_5!$B:$B, $B11, Olympiade_5!$G:$G,2)+COUNTIFS(Olympiade_6!$B:$B, $B11, Olympiade_6!$G:$G,2)+COUNTIFS(Olympiade_7!$B:$B, $B11, Olympiade_7!$G:$G,2)+COUNTIFS(Olympiade_8!$B:$B, $B11, Olympiade_8!$G:$G,2)</f>
        <v>2</v>
      </c>
      <c r="I11" s="5" t="n">
        <f aca="false">COUNTIFS(Olympiade_1!$B:$B, $B11, Olympiade_1!$G:$G,3)+COUNTIFS(Olympiade_2!$B:$B, $B11, Olympiade_2!$G:$G,3)+COUNTIFS(Olympiade_3!$B:$B, $B11, Olympiade_3!$G:$G,3)+COUNTIFS(Olympiade_4!$B:$B, $B11, Olympiade_4!$G:$G,3)+COUNTIFS(Olympiade_5!$B:$B, $B11, Olympiade_5!$G:$G,3)+COUNTIFS(Olympiade_6!$B:$B, $B11, Olympiade_6!$G:$G,3)+COUNTIFS(Olympiade_7!$B:$B, $B11, Olympiade_7!$G:$G,3)+COUNTIFS(Olympiade_8!$B:$B, $B11, Olympiade_8!$G:$G,3)</f>
        <v>0</v>
      </c>
      <c r="J11" s="5" t="n">
        <f aca="false">SUM(G11,H11,I11)</f>
        <v>2</v>
      </c>
      <c r="K11" s="5" t="n">
        <f aca="false">COUNTIFS(Olympiade_1!$B:$B, $B11, Olympiade_1!$H:$H,1)+COUNTIFS(Olympiade_2!$B:$B, $B11, Olympiade_2!$H:$H,1)+COUNTIFS(Olympiade_3!$B:$B, $B11, Olympiade_3!$H:$H,1)+COUNTIFS(Olympiade_4!$B:$B, $B11, Olympiade_4!$H:$H,1)+COUNTIFS(Olympiade_5!$B:$B, $B11, Olympiade_5!$H:$H,1)+COUNTIFS(Olympiade_6!$B:$B, $B11, Olympiade_6!$H:$H,1)+COUNTIFS(Olympiade_7!$B:$B, $B11, Olympiade_7!$H:$H,1)+COUNTIFS(Olympiade_8!$B:$B, $B11, Olympiade_8!$H:$H,1)</f>
        <v>1</v>
      </c>
      <c r="L11" s="5" t="n">
        <f aca="false">COUNTIFS(Olympiade_1!$B:$B, $B11, Olympiade_1!$H:$H,2)+COUNTIFS(Olympiade_2!$B:$B, $B11, Olympiade_2!$H:$H,2)+COUNTIFS(Olympiade_3!$B:$B, $B11, Olympiade_3!$H:$H,2)+COUNTIFS(Olympiade_4!$B:$B, $B11, Olympiade_4!$H:$H,2)+COUNTIFS(Olympiade_5!$B:$B, $B11, Olympiade_5!$H:$H,2)+COUNTIFS(Olympiade_6!$B:$B, $B11, Olympiade_6!$H:$H,2)+COUNTIFS(Olympiade_7!$B:$B, $B11, Olympiade_7!$H:$H,2)+COUNTIFS(Olympiade_8!$B:$B, $B11, Olympiade_8!$H:$H,2)</f>
        <v>0</v>
      </c>
      <c r="M11" s="5" t="n">
        <f aca="false">COUNTIFS(Olympiade_1!$B:$B, $B11, Olympiade_1!$H:$H,3)+COUNTIFS(Olympiade_2!$B:$B, $B11, Olympiade_2!$H:$H,3)+COUNTIFS(Olympiade_3!$B:$B, $B11, Olympiade_3!$H:$H,3)+COUNTIFS(Olympiade_4!$B:$B, $B11, Olympiade_4!$H:$H,3)+COUNTIFS(Olympiade_5!$B:$B, $B11, Olympiade_5!$H:$H,3)+COUNTIFS(Olympiade_6!$B:$B, $B11, Olympiade_6!$H:$H,3)+COUNTIFS(Olympiade_7!$B:$B, $B11, Olympiade_7!$H:$H,3)+COUNTIFS(Olympiade_8!$B:$B, $B11, Olympiade_8!$H:$H,3)</f>
        <v>1</v>
      </c>
      <c r="N11" s="5" t="n">
        <f aca="false">SUM(K11,L11,M11)</f>
        <v>2</v>
      </c>
      <c r="O11" s="5" t="n">
        <f aca="false">COUNTIFS(Olympiade_1!$B:$B, $B11, Olympiade_1!$A:$A,1)+COUNTIFS(Olympiade_2!$B:$B, $B11, Olympiade_2!$A:$A,1)+COUNTIFS(Olympiade_3!$B:$B, $B11, Olympiade_3!$A:$A,1)+COUNTIFS(Olympiade_4!$B:$B, $B11, Olympiade_4!$A:$A,1)+COUNTIFS(Olympiade_5!$B:$B, $B11, Olympiade_5!$A:$A,1)+COUNTIFS(Olympiade_6!$B:$B, $B11, Olympiade_6!$A:$A,1)+COUNTIFS(Olympiade_7!$B:$B, $B11, Olympiade_7!$A:$A,1)+COUNTIFS(Olympiade_8!$B:$B, $B11, Olympiade_8!$A:$A,1)</f>
        <v>1</v>
      </c>
      <c r="P11" s="5" t="n">
        <f aca="false">COUNTIFS(Olympiade_1!$B:$B, $B11, Olympiade_1!$A:$A,2)+COUNTIFS(Olympiade_2!$B:$B, $B11, Olympiade_2!$A:$A,2)+COUNTIFS(Olympiade_3!$B:$B, $B11, Olympiade_3!$A:$A,2)+COUNTIFS(Olympiade_4!$B:$B, $B11, Olympiade_4!$A:$A,2)+COUNTIFS(Olympiade_5!$B:$B, $B11, Olympiade_5!$A:$A,2)+COUNTIFS(Olympiade_6!$B:$B, $B11, Olympiade_6!$A:$A,2)+COUNTIFS(Olympiade_7!$B:$B, $B11, Olympiade_7!$A:$A,2)+COUNTIFS(Olympiade_8!$B:$B, $B11, Olympiade_8!$A:$A,2)</f>
        <v>0</v>
      </c>
      <c r="Q11" s="5" t="n">
        <f aca="false">COUNTIFS(Olympiade_1!$B:$B, $B11, Olympiade_1!$A:$A,3)+COUNTIFS(Olympiade_2!$B:$B, $B11, Olympiade_2!$A:$A,3)+COUNTIFS(Olympiade_3!$B:$B, $B11, Olympiade_3!$A:$A,3)+COUNTIFS(Olympiade_4!$B:$B, $B11, Olympiade_4!$A:$A,3)+COUNTIFS(Olympiade_5!$B:$B, $B11, Olympiade_5!$A:$A,3)+COUNTIFS(Olympiade_6!$B:$B, $B11, Olympiade_6!$A:$A,3)+COUNTIFS(Olympiade_7!$B:$B, $B11, Olympiade_7!$A:$A,3)+COUNTIFS(Olympiade_8!$B:$B, $B11, Olympiade_8!$A:$A,3)</f>
        <v>0</v>
      </c>
      <c r="R11" s="5" t="n">
        <f aca="false">SUM(O11,P11,Q11)</f>
        <v>1</v>
      </c>
      <c r="S11" s="5" t="n">
        <f aca="false">SUM(C11,G11,K11,O11)</f>
        <v>2</v>
      </c>
      <c r="T11" s="5" t="n">
        <f aca="false">SUM(D11,H11,L11,P11)</f>
        <v>3</v>
      </c>
      <c r="U11" s="5" t="n">
        <f aca="false">SUM(E11,I11,M11,Q11)</f>
        <v>1</v>
      </c>
      <c r="V11" s="5" t="n">
        <f aca="false">SUM(S11,T11,U11)</f>
        <v>6</v>
      </c>
      <c r="W11" s="5" t="n">
        <f aca="false">SUMIFS(Database!B:B,Database!A:A,B11) + SUMIFS(Database!F:F,Database!A:A,B11)</f>
        <v>70</v>
      </c>
      <c r="X11" s="5" t="e">
        <f aca="false" t="array" ref="X11:X11">AVERAGE(xlookup(B11, Database!K:K, Database!L:N,NA()))</f>
        <v>#N/A</v>
      </c>
    </row>
    <row r="12" customFormat="false" ht="15" hidden="false" customHeight="false" outlineLevel="0" collapsed="false">
      <c r="A12" s="5" t="n">
        <v>1</v>
      </c>
      <c r="B12" s="5" t="s">
        <v>6</v>
      </c>
      <c r="C12" s="5" t="n">
        <f aca="false">COUNTIFS(Olympiade_1!$B:$B,$B12,Olympiade_1!$F:$F,1)+COUNTIFS(Olympiade_2!$B:$B,$B12,Olympiade_2!$F:$F,1)+COUNTIFS(Olympiade_3!$B:$B,$B12,Olympiade_3!$F:$F,1)+COUNTIFS(Olympiade_4!$B:$B,$B12,Olympiade_4!$F:$F,1)+COUNTIFS(Olympiade_5!$B:$B,$B12,Olympiade_5!$F:$F,1)+COUNTIFS(Olympiade_6!$B:$B,$B12,Olympiade_6!$F:$F,1)+COUNTIFS(Olympiade_7!$B:$B,$B12,Olympiade_7!$F:$F,1)+COUNTIFS(Olympiade_8!$B:$B,$B12,Olympiade_8!$F:$F,1)</f>
        <v>1</v>
      </c>
      <c r="D12" s="5" t="n">
        <f aca="false">COUNTIFS(Olympiade_1!$B:$B, $B12, Olympiade_1!$F:$F,2)+COUNTIFS(Olympiade_2!$B:$B, $B12, Olympiade_2!$F:$F,2)+COUNTIFS(Olympiade_3!$B:$B, $B12, Olympiade_3!$F:$F,2)+COUNTIFS(Olympiade_4!$B:$B, $B12, Olympiade_4!$F:$F,2)+COUNTIFS(Olympiade_5!$B:$B, $B12, Olympiade_5!$F:$F,2)+COUNTIFS(Olympiade_6!$B:$B, $B12, Olympiade_6!$F:$F,2)+COUNTIFS(Olympiade_7!$B:$B, $B12, Olympiade_7!$F:$F,2)+COUNTIFS(Olympiade_8!$B:$B, $B12, Olympiade_8!$F:$F,2)</f>
        <v>3</v>
      </c>
      <c r="E12" s="5" t="n">
        <f aca="false">COUNTIFS(Olympiade_1!$B:$B, $B12, Olympiade_1!$F:$F,3)+COUNTIFS(Olympiade_2!$B:$B, $B12, Olympiade_2!$F:$F,3)+COUNTIFS(Olympiade_3!$B:$B, $B12, Olympiade_3!$F:$F,3)+COUNTIFS(Olympiade_4!$B:$B, $B12, Olympiade_4!$F:$F,3)+COUNTIFS(Olympiade_5!$B:$B, $B12, Olympiade_5!$F:$F,3)+COUNTIFS(Olympiade_6!$B:$B, $B12, Olympiade_6!$F:$F,3)+COUNTIFS(Olympiade_7!$B:$B, $B12, Olympiade_7!$F:$F,3)+COUNTIFS(Olympiade_8!$B:$B, $B12, Olympiade_8!$F:$F,3)</f>
        <v>0</v>
      </c>
      <c r="F12" s="5" t="n">
        <f aca="false">SUM(C12,D12,E12)</f>
        <v>4</v>
      </c>
      <c r="G12" s="5" t="n">
        <f aca="false">COUNTIFS(Olympiade_1!$B:$B, $B12, Olympiade_1!$G:$G,1)+COUNTIFS(Olympiade_2!$B:$B, $B12, Olympiade_2!$G:$G,1)+COUNTIFS(Olympiade_3!$B:$B, $B12, Olympiade_3!$G:$G,1)+COUNTIFS(Olympiade_4!$B:$B, $B12, Olympiade_4!$G:$G,1)+COUNTIFS(Olympiade_5!$B:$B, $B12, Olympiade_5!$G:$G,1)+COUNTIFS(Olympiade_6!$B:$B, $B12, Olympiade_6!$G:$G,1)+COUNTIFS(Olympiade_7!$B:$B, $B12, Olympiade_7!$G:$G,1)+COUNTIFS(Olympiade_8!$B:$B, $B12, Olympiade_8!$G:$G,1)</f>
        <v>2</v>
      </c>
      <c r="H12" s="5" t="n">
        <f aca="false">COUNTIFS(Olympiade_1!$B:$B, $B12, Olympiade_1!$G:$G,2)+COUNTIFS(Olympiade_2!$B:$B, $B12, Olympiade_2!$G:$G,2)+COUNTIFS(Olympiade_3!$B:$B, $B12, Olympiade_3!$G:$G,2)+COUNTIFS(Olympiade_4!$B:$B, $B12, Olympiade_4!$G:$G,2)+COUNTIFS(Olympiade_5!$B:$B, $B12, Olympiade_5!$G:$G,2)+COUNTIFS(Olympiade_6!$B:$B, $B12, Olympiade_6!$G:$G,2)+COUNTIFS(Olympiade_7!$B:$B, $B12, Olympiade_7!$G:$G,2)+COUNTIFS(Olympiade_8!$B:$B, $B12, Olympiade_8!$G:$G,2)</f>
        <v>1</v>
      </c>
      <c r="I12" s="5" t="n">
        <f aca="false">COUNTIFS(Olympiade_1!$B:$B, $B12, Olympiade_1!$G:$G,3)+COUNTIFS(Olympiade_2!$B:$B, $B12, Olympiade_2!$G:$G,3)+COUNTIFS(Olympiade_3!$B:$B, $B12, Olympiade_3!$G:$G,3)+COUNTIFS(Olympiade_4!$B:$B, $B12, Olympiade_4!$G:$G,3)+COUNTIFS(Olympiade_5!$B:$B, $B12, Olympiade_5!$G:$G,3)+COUNTIFS(Olympiade_6!$B:$B, $B12, Olympiade_6!$G:$G,3)+COUNTIFS(Olympiade_7!$B:$B, $B12, Olympiade_7!$G:$G,3)+COUNTIFS(Olympiade_8!$B:$B, $B12, Olympiade_8!$G:$G,3)</f>
        <v>2</v>
      </c>
      <c r="J12" s="5" t="n">
        <f aca="false">SUM(G12,H12,I12)</f>
        <v>5</v>
      </c>
      <c r="K12" s="5" t="n">
        <f aca="false">COUNTIFS(Olympiade_1!$B:$B, $B12, Olympiade_1!$H:$H,1)+COUNTIFS(Olympiade_2!$B:$B, $B12, Olympiade_2!$H:$H,1)+COUNTIFS(Olympiade_3!$B:$B, $B12, Olympiade_3!$H:$H,1)+COUNTIFS(Olympiade_4!$B:$B, $B12, Olympiade_4!$H:$H,1)+COUNTIFS(Olympiade_5!$B:$B, $B12, Olympiade_5!$H:$H,1)+COUNTIFS(Olympiade_6!$B:$B, $B12, Olympiade_6!$H:$H,1)+COUNTIFS(Olympiade_7!$B:$B, $B12, Olympiade_7!$H:$H,1)+COUNTIFS(Olympiade_8!$B:$B, $B12, Olympiade_8!$H:$H,1)</f>
        <v>1</v>
      </c>
      <c r="L12" s="5" t="n">
        <f aca="false">COUNTIFS(Olympiade_1!$B:$B, $B12, Olympiade_1!$H:$H,2)+COUNTIFS(Olympiade_2!$B:$B, $B12, Olympiade_2!$H:$H,2)+COUNTIFS(Olympiade_3!$B:$B, $B12, Olympiade_3!$H:$H,2)+COUNTIFS(Olympiade_4!$B:$B, $B12, Olympiade_4!$H:$H,2)+COUNTIFS(Olympiade_5!$B:$B, $B12, Olympiade_5!$H:$H,2)+COUNTIFS(Olympiade_6!$B:$B, $B12, Olympiade_6!$H:$H,2)+COUNTIFS(Olympiade_7!$B:$B, $B12, Olympiade_7!$H:$H,2)+COUNTIFS(Olympiade_8!$B:$B, $B12, Olympiade_8!$H:$H,2)</f>
        <v>1</v>
      </c>
      <c r="M12" s="5" t="n">
        <f aca="false">COUNTIFS(Olympiade_1!$B:$B, $B12, Olympiade_1!$H:$H,3)+COUNTIFS(Olympiade_2!$B:$B, $B12, Olympiade_2!$H:$H,3)+COUNTIFS(Olympiade_3!$B:$B, $B12, Olympiade_3!$H:$H,3)+COUNTIFS(Olympiade_4!$B:$B, $B12, Olympiade_4!$H:$H,3)+COUNTIFS(Olympiade_5!$B:$B, $B12, Olympiade_5!$H:$H,3)+COUNTIFS(Olympiade_6!$B:$B, $B12, Olympiade_6!$H:$H,3)+COUNTIFS(Olympiade_7!$B:$B, $B12, Olympiade_7!$H:$H,3)+COUNTIFS(Olympiade_8!$B:$B, $B12, Olympiade_8!$H:$H,3)</f>
        <v>0</v>
      </c>
      <c r="N12" s="5" t="n">
        <f aca="false">SUM(K12,L12,M12)</f>
        <v>2</v>
      </c>
      <c r="O12" s="5" t="n">
        <f aca="false">COUNTIFS(Olympiade_1!$B:$B, $B12, Olympiade_1!$A:$A,1)+COUNTIFS(Olympiade_2!$B:$B, $B12, Olympiade_2!$A:$A,1)+COUNTIFS(Olympiade_3!$B:$B, $B12, Olympiade_3!$A:$A,1)+COUNTIFS(Olympiade_4!$B:$B, $B12, Olympiade_4!$A:$A,1)+COUNTIFS(Olympiade_5!$B:$B, $B12, Olympiade_5!$A:$A,1)+COUNTIFS(Olympiade_6!$B:$B, $B12, Olympiade_6!$A:$A,1)+COUNTIFS(Olympiade_7!$B:$B, $B12, Olympiade_7!$A:$A,1)+COUNTIFS(Olympiade_8!$B:$B, $B12, Olympiade_8!$A:$A,1)</f>
        <v>0</v>
      </c>
      <c r="P12" s="5" t="n">
        <f aca="false">COUNTIFS(Olympiade_1!$B:$B, $B12, Olympiade_1!$A:$A,2)+COUNTIFS(Olympiade_2!$B:$B, $B12, Olympiade_2!$A:$A,2)+COUNTIFS(Olympiade_3!$B:$B, $B12, Olympiade_3!$A:$A,2)+COUNTIFS(Olympiade_4!$B:$B, $B12, Olympiade_4!$A:$A,2)+COUNTIFS(Olympiade_5!$B:$B, $B12, Olympiade_5!$A:$A,2)+COUNTIFS(Olympiade_6!$B:$B, $B12, Olympiade_6!$A:$A,2)+COUNTIFS(Olympiade_7!$B:$B, $B12, Olympiade_7!$A:$A,2)+COUNTIFS(Olympiade_8!$B:$B, $B12, Olympiade_8!$A:$A,2)</f>
        <v>4</v>
      </c>
      <c r="Q12" s="5" t="n">
        <f aca="false">COUNTIFS(Olympiade_1!$B:$B, $B12, Olympiade_1!$A:$A,3)+COUNTIFS(Olympiade_2!$B:$B, $B12, Olympiade_2!$A:$A,3)+COUNTIFS(Olympiade_3!$B:$B, $B12, Olympiade_3!$A:$A,3)+COUNTIFS(Olympiade_4!$B:$B, $B12, Olympiade_4!$A:$A,3)+COUNTIFS(Olympiade_5!$B:$B, $B12, Olympiade_5!$A:$A,3)+COUNTIFS(Olympiade_6!$B:$B, $B12, Olympiade_6!$A:$A,3)+COUNTIFS(Olympiade_7!$B:$B, $B12, Olympiade_7!$A:$A,3)+COUNTIFS(Olympiade_8!$B:$B, $B12, Olympiade_8!$A:$A,3)</f>
        <v>2</v>
      </c>
      <c r="R12" s="5" t="n">
        <f aca="false">SUM(O12,P12,Q12)</f>
        <v>6</v>
      </c>
      <c r="S12" s="5" t="n">
        <f aca="false">SUM(C12,G12,K12,O12)</f>
        <v>4</v>
      </c>
      <c r="T12" s="5" t="n">
        <f aca="false">SUM(D12,H12,L12,P12)</f>
        <v>9</v>
      </c>
      <c r="U12" s="5" t="n">
        <f aca="false">SUM(E12,I12,M12,Q12)</f>
        <v>4</v>
      </c>
      <c r="V12" s="5" t="n">
        <f aca="false">SUM(S12,T12,U12)</f>
        <v>17</v>
      </c>
      <c r="W12" s="5" t="n">
        <f aca="false">SUMIFS(Database!B:B,Database!A:A,B12) + SUMIFS(Database!F:F,Database!A:A,B12)</f>
        <v>390</v>
      </c>
      <c r="X12" s="5" t="e">
        <f aca="false" t="array" ref="X12:X12">AVERAGE(xlookup(B12, Database!K:K, Database!L:N,NA()))</f>
        <v>#N/A</v>
      </c>
    </row>
    <row r="13" customFormat="false" ht="15" hidden="false" customHeight="false" outlineLevel="0" collapsed="false">
      <c r="A13" s="5" t="n">
        <v>21</v>
      </c>
      <c r="B13" s="5" t="s">
        <v>26</v>
      </c>
      <c r="C13" s="5" t="n">
        <f aca="false">COUNTIFS(Olympiade_1!$B:$B,$B13,Olympiade_1!$F:$F,1)+COUNTIFS(Olympiade_2!$B:$B,$B13,Olympiade_2!$F:$F,1)+COUNTIFS(Olympiade_3!$B:$B,$B13,Olympiade_3!$F:$F,1)+COUNTIFS(Olympiade_4!$B:$B,$B13,Olympiade_4!$F:$F,1)+COUNTIFS(Olympiade_5!$B:$B,$B13,Olympiade_5!$F:$F,1)+COUNTIFS(Olympiade_6!$B:$B,$B13,Olympiade_6!$F:$F,1)+COUNTIFS(Olympiade_7!$B:$B,$B13,Olympiade_7!$F:$F,1)+COUNTIFS(Olympiade_8!$B:$B,$B13,Olympiade_8!$F:$F,1)</f>
        <v>1</v>
      </c>
      <c r="D13" s="5" t="n">
        <f aca="false">COUNTIFS(Olympiade_1!$B:$B, $B13, Olympiade_1!$F:$F,2)+COUNTIFS(Olympiade_2!$B:$B, $B13, Olympiade_2!$F:$F,2)+COUNTIFS(Olympiade_3!$B:$B, $B13, Olympiade_3!$F:$F,2)+COUNTIFS(Olympiade_4!$B:$B, $B13, Olympiade_4!$F:$F,2)+COUNTIFS(Olympiade_5!$B:$B, $B13, Olympiade_5!$F:$F,2)+COUNTIFS(Olympiade_6!$B:$B, $B13, Olympiade_6!$F:$F,2)+COUNTIFS(Olympiade_7!$B:$B, $B13, Olympiade_7!$F:$F,2)+COUNTIFS(Olympiade_8!$B:$B, $B13, Olympiade_8!$F:$F,2)</f>
        <v>1</v>
      </c>
      <c r="E13" s="5" t="n">
        <f aca="false">COUNTIFS(Olympiade_1!$B:$B, $B13, Olympiade_1!$F:$F,3)+COUNTIFS(Olympiade_2!$B:$B, $B13, Olympiade_2!$F:$F,3)+COUNTIFS(Olympiade_3!$B:$B, $B13, Olympiade_3!$F:$F,3)+COUNTIFS(Olympiade_4!$B:$B, $B13, Olympiade_4!$F:$F,3)+COUNTIFS(Olympiade_5!$B:$B, $B13, Olympiade_5!$F:$F,3)+COUNTIFS(Olympiade_6!$B:$B, $B13, Olympiade_6!$F:$F,3)+COUNTIFS(Olympiade_7!$B:$B, $B13, Olympiade_7!$F:$F,3)+COUNTIFS(Olympiade_8!$B:$B, $B13, Olympiade_8!$F:$F,3)</f>
        <v>0</v>
      </c>
      <c r="F13" s="5" t="n">
        <f aca="false">SUM(C13,D13,E13)</f>
        <v>2</v>
      </c>
      <c r="G13" s="5" t="n">
        <f aca="false">COUNTIFS(Olympiade_1!$B:$B, $B13, Olympiade_1!$G:$G,1)+COUNTIFS(Olympiade_2!$B:$B, $B13, Olympiade_2!$G:$G,1)+COUNTIFS(Olympiade_3!$B:$B, $B13, Olympiade_3!$G:$G,1)+COUNTIFS(Olympiade_4!$B:$B, $B13, Olympiade_4!$G:$G,1)+COUNTIFS(Olympiade_5!$B:$B, $B13, Olympiade_5!$G:$G,1)+COUNTIFS(Olympiade_6!$B:$B, $B13, Olympiade_6!$G:$G,1)+COUNTIFS(Olympiade_7!$B:$B, $B13, Olympiade_7!$G:$G,1)+COUNTIFS(Olympiade_8!$B:$B, $B13, Olympiade_8!$G:$G,1)</f>
        <v>2</v>
      </c>
      <c r="H13" s="5" t="n">
        <f aca="false">COUNTIFS(Olympiade_1!$B:$B, $B13, Olympiade_1!$G:$G,2)+COUNTIFS(Olympiade_2!$B:$B, $B13, Olympiade_2!$G:$G,2)+COUNTIFS(Olympiade_3!$B:$B, $B13, Olympiade_3!$G:$G,2)+COUNTIFS(Olympiade_4!$B:$B, $B13, Olympiade_4!$G:$G,2)+COUNTIFS(Olympiade_5!$B:$B, $B13, Olympiade_5!$G:$G,2)+COUNTIFS(Olympiade_6!$B:$B, $B13, Olympiade_6!$G:$G,2)+COUNTIFS(Olympiade_7!$B:$B, $B13, Olympiade_7!$G:$G,2)+COUNTIFS(Olympiade_8!$B:$B, $B13, Olympiade_8!$G:$G,2)</f>
        <v>0</v>
      </c>
      <c r="I13" s="5" t="n">
        <f aca="false">COUNTIFS(Olympiade_1!$B:$B, $B13, Olympiade_1!$G:$G,3)+COUNTIFS(Olympiade_2!$B:$B, $B13, Olympiade_2!$G:$G,3)+COUNTIFS(Olympiade_3!$B:$B, $B13, Olympiade_3!$G:$G,3)+COUNTIFS(Olympiade_4!$B:$B, $B13, Olympiade_4!$G:$G,3)+COUNTIFS(Olympiade_5!$B:$B, $B13, Olympiade_5!$G:$G,3)+COUNTIFS(Olympiade_6!$B:$B, $B13, Olympiade_6!$G:$G,3)+COUNTIFS(Olympiade_7!$B:$B, $B13, Olympiade_7!$G:$G,3)+COUNTIFS(Olympiade_8!$B:$B, $B13, Olympiade_8!$G:$G,3)</f>
        <v>0</v>
      </c>
      <c r="J13" s="5" t="n">
        <f aca="false">SUM(G13,H13,I13)</f>
        <v>2</v>
      </c>
      <c r="K13" s="5" t="n">
        <f aca="false">COUNTIFS(Olympiade_1!$B:$B, $B13, Olympiade_1!$H:$H,1)+COUNTIFS(Olympiade_2!$B:$B, $B13, Olympiade_2!$H:$H,1)+COUNTIFS(Olympiade_3!$B:$B, $B13, Olympiade_3!$H:$H,1)+COUNTIFS(Olympiade_4!$B:$B, $B13, Olympiade_4!$H:$H,1)+COUNTIFS(Olympiade_5!$B:$B, $B13, Olympiade_5!$H:$H,1)+COUNTIFS(Olympiade_6!$B:$B, $B13, Olympiade_6!$H:$H,1)+COUNTIFS(Olympiade_7!$B:$B, $B13, Olympiade_7!$H:$H,1)+COUNTIFS(Olympiade_8!$B:$B, $B13, Olympiade_8!$H:$H,1)</f>
        <v>0</v>
      </c>
      <c r="L13" s="5" t="n">
        <f aca="false">COUNTIFS(Olympiade_1!$B:$B, $B13, Olympiade_1!$H:$H,2)+COUNTIFS(Olympiade_2!$B:$B, $B13, Olympiade_2!$H:$H,2)+COUNTIFS(Olympiade_3!$B:$B, $B13, Olympiade_3!$H:$H,2)+COUNTIFS(Olympiade_4!$B:$B, $B13, Olympiade_4!$H:$H,2)+COUNTIFS(Olympiade_5!$B:$B, $B13, Olympiade_5!$H:$H,2)+COUNTIFS(Olympiade_6!$B:$B, $B13, Olympiade_6!$H:$H,2)+COUNTIFS(Olympiade_7!$B:$B, $B13, Olympiade_7!$H:$H,2)+COUNTIFS(Olympiade_8!$B:$B, $B13, Olympiade_8!$H:$H,2)</f>
        <v>1</v>
      </c>
      <c r="M13" s="5" t="n">
        <f aca="false">COUNTIFS(Olympiade_1!$B:$B, $B13, Olympiade_1!$H:$H,3)+COUNTIFS(Olympiade_2!$B:$B, $B13, Olympiade_2!$H:$H,3)+COUNTIFS(Olympiade_3!$B:$B, $B13, Olympiade_3!$H:$H,3)+COUNTIFS(Olympiade_4!$B:$B, $B13, Olympiade_4!$H:$H,3)+COUNTIFS(Olympiade_5!$B:$B, $B13, Olympiade_5!$H:$H,3)+COUNTIFS(Olympiade_6!$B:$B, $B13, Olympiade_6!$H:$H,3)+COUNTIFS(Olympiade_7!$B:$B, $B13, Olympiade_7!$H:$H,3)+COUNTIFS(Olympiade_8!$B:$B, $B13, Olympiade_8!$H:$H,3)</f>
        <v>0</v>
      </c>
      <c r="N13" s="5" t="n">
        <f aca="false">SUM(K13,L13,M13)</f>
        <v>1</v>
      </c>
      <c r="O13" s="5" t="n">
        <f aca="false">COUNTIFS(Olympiade_1!$B:$B, $B13, Olympiade_1!$A:$A,1)+COUNTIFS(Olympiade_2!$B:$B, $B13, Olympiade_2!$A:$A,1)+COUNTIFS(Olympiade_3!$B:$B, $B13, Olympiade_3!$A:$A,1)+COUNTIFS(Olympiade_4!$B:$B, $B13, Olympiade_4!$A:$A,1)+COUNTIFS(Olympiade_5!$B:$B, $B13, Olympiade_5!$A:$A,1)+COUNTIFS(Olympiade_6!$B:$B, $B13, Olympiade_6!$A:$A,1)+COUNTIFS(Olympiade_7!$B:$B, $B13, Olympiade_7!$A:$A,1)+COUNTIFS(Olympiade_8!$B:$B, $B13, Olympiade_8!$A:$A,1)</f>
        <v>0</v>
      </c>
      <c r="P13" s="5" t="n">
        <f aca="false">COUNTIFS(Olympiade_1!$B:$B, $B13, Olympiade_1!$A:$A,2)+COUNTIFS(Olympiade_2!$B:$B, $B13, Olympiade_2!$A:$A,2)+COUNTIFS(Olympiade_3!$B:$B, $B13, Olympiade_3!$A:$A,2)+COUNTIFS(Olympiade_4!$B:$B, $B13, Olympiade_4!$A:$A,2)+COUNTIFS(Olympiade_5!$B:$B, $B13, Olympiade_5!$A:$A,2)+COUNTIFS(Olympiade_6!$B:$B, $B13, Olympiade_6!$A:$A,2)+COUNTIFS(Olympiade_7!$B:$B, $B13, Olympiade_7!$A:$A,2)+COUNTIFS(Olympiade_8!$B:$B, $B13, Olympiade_8!$A:$A,2)</f>
        <v>2</v>
      </c>
      <c r="Q13" s="5" t="n">
        <f aca="false">COUNTIFS(Olympiade_1!$B:$B, $B13, Olympiade_1!$A:$A,3)+COUNTIFS(Olympiade_2!$B:$B, $B13, Olympiade_2!$A:$A,3)+COUNTIFS(Olympiade_3!$B:$B, $B13, Olympiade_3!$A:$A,3)+COUNTIFS(Olympiade_4!$B:$B, $B13, Olympiade_4!$A:$A,3)+COUNTIFS(Olympiade_5!$B:$B, $B13, Olympiade_5!$A:$A,3)+COUNTIFS(Olympiade_6!$B:$B, $B13, Olympiade_6!$A:$A,3)+COUNTIFS(Olympiade_7!$B:$B, $B13, Olympiade_7!$A:$A,3)+COUNTIFS(Olympiade_8!$B:$B, $B13, Olympiade_8!$A:$A,3)</f>
        <v>0</v>
      </c>
      <c r="R13" s="5" t="n">
        <f aca="false">SUM(O13,P13,Q13)</f>
        <v>2</v>
      </c>
      <c r="S13" s="5" t="n">
        <f aca="false">SUM(C13,G13,K13,O13)</f>
        <v>3</v>
      </c>
      <c r="T13" s="5" t="n">
        <f aca="false">SUM(D13,H13,L13,P13)</f>
        <v>4</v>
      </c>
      <c r="U13" s="5" t="n">
        <f aca="false">SUM(E13,I13,M13,Q13)</f>
        <v>0</v>
      </c>
      <c r="V13" s="5" t="n">
        <f aca="false">SUM(S13,T13,U13)</f>
        <v>7</v>
      </c>
      <c r="W13" s="5" t="n">
        <f aca="false">SUMIFS(Database!B:B,Database!A:A,B13) + SUMIFS(Database!F:F,Database!A:A,B13)</f>
        <v>80</v>
      </c>
      <c r="X13" s="5" t="e">
        <f aca="false" t="array" ref="X13:X13">AVERAGE(xlookup(B13, Database!K:K, Database!L:N,NA()))</f>
        <v>#N/A</v>
      </c>
    </row>
    <row r="14" customFormat="false" ht="15" hidden="false" customHeight="false" outlineLevel="0" collapsed="false">
      <c r="A14" s="5" t="n">
        <v>11</v>
      </c>
      <c r="B14" s="5" t="s">
        <v>17</v>
      </c>
      <c r="C14" s="5" t="n">
        <f aca="false">COUNTIFS(Olympiade_1!$B:$B,$B14,Olympiade_1!$F:$F,1)+COUNTIFS(Olympiade_2!$B:$B,$B14,Olympiade_2!$F:$F,1)+COUNTIFS(Olympiade_3!$B:$B,$B14,Olympiade_3!$F:$F,1)+COUNTIFS(Olympiade_4!$B:$B,$B14,Olympiade_4!$F:$F,1)+COUNTIFS(Olympiade_5!$B:$B,$B14,Olympiade_5!$F:$F,1)+COUNTIFS(Olympiade_6!$B:$B,$B14,Olympiade_6!$F:$F,1)+COUNTIFS(Olympiade_7!$B:$B,$B14,Olympiade_7!$F:$F,1)+COUNTIFS(Olympiade_8!$B:$B,$B14,Olympiade_8!$F:$F,1)</f>
        <v>0</v>
      </c>
      <c r="D14" s="5" t="n">
        <f aca="false">COUNTIFS(Olympiade_1!$B:$B, $B14, Olympiade_1!$F:$F,2)+COUNTIFS(Olympiade_2!$B:$B, $B14, Olympiade_2!$F:$F,2)+COUNTIFS(Olympiade_3!$B:$B, $B14, Olympiade_3!$F:$F,2)+COUNTIFS(Olympiade_4!$B:$B, $B14, Olympiade_4!$F:$F,2)+COUNTIFS(Olympiade_5!$B:$B, $B14, Olympiade_5!$F:$F,2)+COUNTIFS(Olympiade_6!$B:$B, $B14, Olympiade_6!$F:$F,2)+COUNTIFS(Olympiade_7!$B:$B, $B14, Olympiade_7!$F:$F,2)+COUNTIFS(Olympiade_8!$B:$B, $B14, Olympiade_8!$F:$F,2)</f>
        <v>1</v>
      </c>
      <c r="E14" s="5" t="n">
        <f aca="false">COUNTIFS(Olympiade_1!$B:$B, $B14, Olympiade_1!$F:$F,3)+COUNTIFS(Olympiade_2!$B:$B, $B14, Olympiade_2!$F:$F,3)+COUNTIFS(Olympiade_3!$B:$B, $B14, Olympiade_3!$F:$F,3)+COUNTIFS(Olympiade_4!$B:$B, $B14, Olympiade_4!$F:$F,3)+COUNTIFS(Olympiade_5!$B:$B, $B14, Olympiade_5!$F:$F,3)+COUNTIFS(Olympiade_6!$B:$B, $B14, Olympiade_6!$F:$F,3)+COUNTIFS(Olympiade_7!$B:$B, $B14, Olympiade_7!$F:$F,3)+COUNTIFS(Olympiade_8!$B:$B, $B14, Olympiade_8!$F:$F,3)</f>
        <v>0</v>
      </c>
      <c r="F14" s="5" t="n">
        <f aca="false">SUM(C14,D14,E14)</f>
        <v>1</v>
      </c>
      <c r="G14" s="5" t="n">
        <f aca="false">COUNTIFS(Olympiade_1!$B:$B, $B14, Olympiade_1!$G:$G,1)+COUNTIFS(Olympiade_2!$B:$B, $B14, Olympiade_2!$G:$G,1)+COUNTIFS(Olympiade_3!$B:$B, $B14, Olympiade_3!$G:$G,1)+COUNTIFS(Olympiade_4!$B:$B, $B14, Olympiade_4!$G:$G,1)+COUNTIFS(Olympiade_5!$B:$B, $B14, Olympiade_5!$G:$G,1)+COUNTIFS(Olympiade_6!$B:$B, $B14, Olympiade_6!$G:$G,1)+COUNTIFS(Olympiade_7!$B:$B, $B14, Olympiade_7!$G:$G,1)+COUNTIFS(Olympiade_8!$B:$B, $B14, Olympiade_8!$G:$G,1)</f>
        <v>0</v>
      </c>
      <c r="H14" s="5" t="n">
        <f aca="false">COUNTIFS(Olympiade_1!$B:$B, $B14, Olympiade_1!$G:$G,2)+COUNTIFS(Olympiade_2!$B:$B, $B14, Olympiade_2!$G:$G,2)+COUNTIFS(Olympiade_3!$B:$B, $B14, Olympiade_3!$G:$G,2)+COUNTIFS(Olympiade_4!$B:$B, $B14, Olympiade_4!$G:$G,2)+COUNTIFS(Olympiade_5!$B:$B, $B14, Olympiade_5!$G:$G,2)+COUNTIFS(Olympiade_6!$B:$B, $B14, Olympiade_6!$G:$G,2)+COUNTIFS(Olympiade_7!$B:$B, $B14, Olympiade_7!$G:$G,2)+COUNTIFS(Olympiade_8!$B:$B, $B14, Olympiade_8!$G:$G,2)</f>
        <v>0</v>
      </c>
      <c r="I14" s="5" t="n">
        <f aca="false">COUNTIFS(Olympiade_1!$B:$B, $B14, Olympiade_1!$G:$G,3)+COUNTIFS(Olympiade_2!$B:$B, $B14, Olympiade_2!$G:$G,3)+COUNTIFS(Olympiade_3!$B:$B, $B14, Olympiade_3!$G:$G,3)+COUNTIFS(Olympiade_4!$B:$B, $B14, Olympiade_4!$G:$G,3)+COUNTIFS(Olympiade_5!$B:$B, $B14, Olympiade_5!$G:$G,3)+COUNTIFS(Olympiade_6!$B:$B, $B14, Olympiade_6!$G:$G,3)+COUNTIFS(Olympiade_7!$B:$B, $B14, Olympiade_7!$G:$G,3)+COUNTIFS(Olympiade_8!$B:$B, $B14, Olympiade_8!$G:$G,3)</f>
        <v>1</v>
      </c>
      <c r="J14" s="5" t="n">
        <f aca="false">SUM(G14,H14,I14)</f>
        <v>1</v>
      </c>
      <c r="K14" s="5" t="n">
        <f aca="false">COUNTIFS(Olympiade_1!$B:$B, $B14, Olympiade_1!$H:$H,1)+COUNTIFS(Olympiade_2!$B:$B, $B14, Olympiade_2!$H:$H,1)+COUNTIFS(Olympiade_3!$B:$B, $B14, Olympiade_3!$H:$H,1)+COUNTIFS(Olympiade_4!$B:$B, $B14, Olympiade_4!$H:$H,1)+COUNTIFS(Olympiade_5!$B:$B, $B14, Olympiade_5!$H:$H,1)+COUNTIFS(Olympiade_6!$B:$B, $B14, Olympiade_6!$H:$H,1)+COUNTIFS(Olympiade_7!$B:$B, $B14, Olympiade_7!$H:$H,1)+COUNTIFS(Olympiade_8!$B:$B, $B14, Olympiade_8!$H:$H,1)</f>
        <v>3</v>
      </c>
      <c r="L14" s="5" t="n">
        <f aca="false">COUNTIFS(Olympiade_1!$B:$B, $B14, Olympiade_1!$H:$H,2)+COUNTIFS(Olympiade_2!$B:$B, $B14, Olympiade_2!$H:$H,2)+COUNTIFS(Olympiade_3!$B:$B, $B14, Olympiade_3!$H:$H,2)+COUNTIFS(Olympiade_4!$B:$B, $B14, Olympiade_4!$H:$H,2)+COUNTIFS(Olympiade_5!$B:$B, $B14, Olympiade_5!$H:$H,2)+COUNTIFS(Olympiade_6!$B:$B, $B14, Olympiade_6!$H:$H,2)+COUNTIFS(Olympiade_7!$B:$B, $B14, Olympiade_7!$H:$H,2)+COUNTIFS(Olympiade_8!$B:$B, $B14, Olympiade_8!$H:$H,2)</f>
        <v>0</v>
      </c>
      <c r="M14" s="5" t="n">
        <f aca="false">COUNTIFS(Olympiade_1!$B:$B, $B14, Olympiade_1!$H:$H,3)+COUNTIFS(Olympiade_2!$B:$B, $B14, Olympiade_2!$H:$H,3)+COUNTIFS(Olympiade_3!$B:$B, $B14, Olympiade_3!$H:$H,3)+COUNTIFS(Olympiade_4!$B:$B, $B14, Olympiade_4!$H:$H,3)+COUNTIFS(Olympiade_5!$B:$B, $B14, Olympiade_5!$H:$H,3)+COUNTIFS(Olympiade_6!$B:$B, $B14, Olympiade_6!$H:$H,3)+COUNTIFS(Olympiade_7!$B:$B, $B14, Olympiade_7!$H:$H,3)+COUNTIFS(Olympiade_8!$B:$B, $B14, Olympiade_8!$H:$H,3)</f>
        <v>0</v>
      </c>
      <c r="N14" s="5" t="n">
        <f aca="false">SUM(K14,L14,M14)</f>
        <v>3</v>
      </c>
      <c r="O14" s="5" t="n">
        <f aca="false">COUNTIFS(Olympiade_1!$B:$B, $B14, Olympiade_1!$A:$A,1)+COUNTIFS(Olympiade_2!$B:$B, $B14, Olympiade_2!$A:$A,1)+COUNTIFS(Olympiade_3!$B:$B, $B14, Olympiade_3!$A:$A,1)+COUNTIFS(Olympiade_4!$B:$B, $B14, Olympiade_4!$A:$A,1)+COUNTIFS(Olympiade_5!$B:$B, $B14, Olympiade_5!$A:$A,1)+COUNTIFS(Olympiade_6!$B:$B, $B14, Olympiade_6!$A:$A,1)+COUNTIFS(Olympiade_7!$B:$B, $B14, Olympiade_7!$A:$A,1)+COUNTIFS(Olympiade_8!$B:$B, $B14, Olympiade_8!$A:$A,1)</f>
        <v>0</v>
      </c>
      <c r="P14" s="5" t="n">
        <f aca="false">COUNTIFS(Olympiade_1!$B:$B, $B14, Olympiade_1!$A:$A,2)+COUNTIFS(Olympiade_2!$B:$B, $B14, Olympiade_2!$A:$A,2)+COUNTIFS(Olympiade_3!$B:$B, $B14, Olympiade_3!$A:$A,2)+COUNTIFS(Olympiade_4!$B:$B, $B14, Olympiade_4!$A:$A,2)+COUNTIFS(Olympiade_5!$B:$B, $B14, Olympiade_5!$A:$A,2)+COUNTIFS(Olympiade_6!$B:$B, $B14, Olympiade_6!$A:$A,2)+COUNTIFS(Olympiade_7!$B:$B, $B14, Olympiade_7!$A:$A,2)+COUNTIFS(Olympiade_8!$B:$B, $B14, Olympiade_8!$A:$A,2)</f>
        <v>1</v>
      </c>
      <c r="Q14" s="5" t="n">
        <f aca="false">COUNTIFS(Olympiade_1!$B:$B, $B14, Olympiade_1!$A:$A,3)+COUNTIFS(Olympiade_2!$B:$B, $B14, Olympiade_2!$A:$A,3)+COUNTIFS(Olympiade_3!$B:$B, $B14, Olympiade_3!$A:$A,3)+COUNTIFS(Olympiade_4!$B:$B, $B14, Olympiade_4!$A:$A,3)+COUNTIFS(Olympiade_5!$B:$B, $B14, Olympiade_5!$A:$A,3)+COUNTIFS(Olympiade_6!$B:$B, $B14, Olympiade_6!$A:$A,3)+COUNTIFS(Olympiade_7!$B:$B, $B14, Olympiade_7!$A:$A,3)+COUNTIFS(Olympiade_8!$B:$B, $B14, Olympiade_8!$A:$A,3)</f>
        <v>1</v>
      </c>
      <c r="R14" s="5" t="n">
        <f aca="false">SUM(O14,P14,Q14)</f>
        <v>2</v>
      </c>
      <c r="S14" s="5" t="n">
        <f aca="false">SUM(C14,G14,K14,O14)</f>
        <v>3</v>
      </c>
      <c r="T14" s="5" t="n">
        <f aca="false">SUM(D14,H14,L14,P14)</f>
        <v>2</v>
      </c>
      <c r="U14" s="5" t="n">
        <f aca="false">SUM(E14,I14,M14,Q14)</f>
        <v>2</v>
      </c>
      <c r="V14" s="5" t="n">
        <f aca="false">SUM(S14,T14,U14)</f>
        <v>7</v>
      </c>
      <c r="W14" s="5" t="n">
        <f aca="false">SUMIFS(Database!B:B,Database!A:A,B14) + SUMIFS(Database!F:F,Database!A:A,B14)</f>
        <v>150</v>
      </c>
      <c r="X14" s="5" t="e">
        <f aca="false" t="array" ref="X14:X14">AVERAGE(xlookup(B14, Database!K:K, Database!L:N,NA()))</f>
        <v>#N/A</v>
      </c>
    </row>
    <row r="15" customFormat="false" ht="15" hidden="false" customHeight="false" outlineLevel="0" collapsed="false">
      <c r="A15" s="5" t="n">
        <v>18</v>
      </c>
      <c r="B15" s="5" t="s">
        <v>24</v>
      </c>
      <c r="C15" s="5" t="n">
        <f aca="false">COUNTIFS(Olympiade_1!$B:$B,$B15,Olympiade_1!$F:$F,1)+COUNTIFS(Olympiade_2!$B:$B,$B15,Olympiade_2!$F:$F,1)+COUNTIFS(Olympiade_3!$B:$B,$B15,Olympiade_3!$F:$F,1)+COUNTIFS(Olympiade_4!$B:$B,$B15,Olympiade_4!$F:$F,1)+COUNTIFS(Olympiade_5!$B:$B,$B15,Olympiade_5!$F:$F,1)+COUNTIFS(Olympiade_6!$B:$B,$B15,Olympiade_6!$F:$F,1)+COUNTIFS(Olympiade_7!$B:$B,$B15,Olympiade_7!$F:$F,1)+COUNTIFS(Olympiade_8!$B:$B,$B15,Olympiade_8!$F:$F,1)</f>
        <v>0</v>
      </c>
      <c r="D15" s="5" t="n">
        <f aca="false">COUNTIFS(Olympiade_1!$B:$B, $B15, Olympiade_1!$F:$F,2)+COUNTIFS(Olympiade_2!$B:$B, $B15, Olympiade_2!$F:$F,2)+COUNTIFS(Olympiade_3!$B:$B, $B15, Olympiade_3!$F:$F,2)+COUNTIFS(Olympiade_4!$B:$B, $B15, Olympiade_4!$F:$F,2)+COUNTIFS(Olympiade_5!$B:$B, $B15, Olympiade_5!$F:$F,2)+COUNTIFS(Olympiade_6!$B:$B, $B15, Olympiade_6!$F:$F,2)+COUNTIFS(Olympiade_7!$B:$B, $B15, Olympiade_7!$F:$F,2)+COUNTIFS(Olympiade_8!$B:$B, $B15, Olympiade_8!$F:$F,2)</f>
        <v>0</v>
      </c>
      <c r="E15" s="5" t="n">
        <f aca="false">COUNTIFS(Olympiade_1!$B:$B, $B15, Olympiade_1!$F:$F,3)+COUNTIFS(Olympiade_2!$B:$B, $B15, Olympiade_2!$F:$F,3)+COUNTIFS(Olympiade_3!$B:$B, $B15, Olympiade_3!$F:$F,3)+COUNTIFS(Olympiade_4!$B:$B, $B15, Olympiade_4!$F:$F,3)+COUNTIFS(Olympiade_5!$B:$B, $B15, Olympiade_5!$F:$F,3)+COUNTIFS(Olympiade_6!$B:$B, $B15, Olympiade_6!$F:$F,3)+COUNTIFS(Olympiade_7!$B:$B, $B15, Olympiade_7!$F:$F,3)+COUNTIFS(Olympiade_8!$B:$B, $B15, Olympiade_8!$F:$F,3)</f>
        <v>1</v>
      </c>
      <c r="F15" s="5" t="n">
        <f aca="false">SUM(C15,D15,E15)</f>
        <v>1</v>
      </c>
      <c r="G15" s="5" t="n">
        <f aca="false">COUNTIFS(Olympiade_1!$B:$B, $B15, Olympiade_1!$G:$G,1)+COUNTIFS(Olympiade_2!$B:$B, $B15, Olympiade_2!$G:$G,1)+COUNTIFS(Olympiade_3!$B:$B, $B15, Olympiade_3!$G:$G,1)+COUNTIFS(Olympiade_4!$B:$B, $B15, Olympiade_4!$G:$G,1)+COUNTIFS(Olympiade_5!$B:$B, $B15, Olympiade_5!$G:$G,1)+COUNTIFS(Olympiade_6!$B:$B, $B15, Olympiade_6!$G:$G,1)+COUNTIFS(Olympiade_7!$B:$B, $B15, Olympiade_7!$G:$G,1)+COUNTIFS(Olympiade_8!$B:$B, $B15, Olympiade_8!$G:$G,1)</f>
        <v>2</v>
      </c>
      <c r="H15" s="5" t="n">
        <f aca="false">COUNTIFS(Olympiade_1!$B:$B, $B15, Olympiade_1!$G:$G,2)+COUNTIFS(Olympiade_2!$B:$B, $B15, Olympiade_2!$G:$G,2)+COUNTIFS(Olympiade_3!$B:$B, $B15, Olympiade_3!$G:$G,2)+COUNTIFS(Olympiade_4!$B:$B, $B15, Olympiade_4!$G:$G,2)+COUNTIFS(Olympiade_5!$B:$B, $B15, Olympiade_5!$G:$G,2)+COUNTIFS(Olympiade_6!$B:$B, $B15, Olympiade_6!$G:$G,2)+COUNTIFS(Olympiade_7!$B:$B, $B15, Olympiade_7!$G:$G,2)+COUNTIFS(Olympiade_8!$B:$B, $B15, Olympiade_8!$G:$G,2)</f>
        <v>0</v>
      </c>
      <c r="I15" s="5" t="n">
        <f aca="false">COUNTIFS(Olympiade_1!$B:$B, $B15, Olympiade_1!$G:$G,3)+COUNTIFS(Olympiade_2!$B:$B, $B15, Olympiade_2!$G:$G,3)+COUNTIFS(Olympiade_3!$B:$B, $B15, Olympiade_3!$G:$G,3)+COUNTIFS(Olympiade_4!$B:$B, $B15, Olympiade_4!$G:$G,3)+COUNTIFS(Olympiade_5!$B:$B, $B15, Olympiade_5!$G:$G,3)+COUNTIFS(Olympiade_6!$B:$B, $B15, Olympiade_6!$G:$G,3)+COUNTIFS(Olympiade_7!$B:$B, $B15, Olympiade_7!$G:$G,3)+COUNTIFS(Olympiade_8!$B:$B, $B15, Olympiade_8!$G:$G,3)</f>
        <v>0</v>
      </c>
      <c r="J15" s="5" t="n">
        <f aca="false">SUM(G15,H15,I15)</f>
        <v>2</v>
      </c>
      <c r="K15" s="5" t="n">
        <f aca="false">COUNTIFS(Olympiade_1!$B:$B, $B15, Olympiade_1!$H:$H,1)+COUNTIFS(Olympiade_2!$B:$B, $B15, Olympiade_2!$H:$H,1)+COUNTIFS(Olympiade_3!$B:$B, $B15, Olympiade_3!$H:$H,1)+COUNTIFS(Olympiade_4!$B:$B, $B15, Olympiade_4!$H:$H,1)+COUNTIFS(Olympiade_5!$B:$B, $B15, Olympiade_5!$H:$H,1)+COUNTIFS(Olympiade_6!$B:$B, $B15, Olympiade_6!$H:$H,1)+COUNTIFS(Olympiade_7!$B:$B, $B15, Olympiade_7!$H:$H,1)+COUNTIFS(Olympiade_8!$B:$B, $B15, Olympiade_8!$H:$H,1)</f>
        <v>0</v>
      </c>
      <c r="L15" s="5" t="n">
        <f aca="false">COUNTIFS(Olympiade_1!$B:$B, $B15, Olympiade_1!$H:$H,2)+COUNTIFS(Olympiade_2!$B:$B, $B15, Olympiade_2!$H:$H,2)+COUNTIFS(Olympiade_3!$B:$B, $B15, Olympiade_3!$H:$H,2)+COUNTIFS(Olympiade_4!$B:$B, $B15, Olympiade_4!$H:$H,2)+COUNTIFS(Olympiade_5!$B:$B, $B15, Olympiade_5!$H:$H,2)+COUNTIFS(Olympiade_6!$B:$B, $B15, Olympiade_6!$H:$H,2)+COUNTIFS(Olympiade_7!$B:$B, $B15, Olympiade_7!$H:$H,2)+COUNTIFS(Olympiade_8!$B:$B, $B15, Olympiade_8!$H:$H,2)</f>
        <v>0</v>
      </c>
      <c r="M15" s="5" t="n">
        <f aca="false">COUNTIFS(Olympiade_1!$B:$B, $B15, Olympiade_1!$H:$H,3)+COUNTIFS(Olympiade_2!$B:$B, $B15, Olympiade_2!$H:$H,3)+COUNTIFS(Olympiade_3!$B:$B, $B15, Olympiade_3!$H:$H,3)+COUNTIFS(Olympiade_4!$B:$B, $B15, Olympiade_4!$H:$H,3)+COUNTIFS(Olympiade_5!$B:$B, $B15, Olympiade_5!$H:$H,3)+COUNTIFS(Olympiade_6!$B:$B, $B15, Olympiade_6!$H:$H,3)+COUNTIFS(Olympiade_7!$B:$B, $B15, Olympiade_7!$H:$H,3)+COUNTIFS(Olympiade_8!$B:$B, $B15, Olympiade_8!$H:$H,3)</f>
        <v>0</v>
      </c>
      <c r="N15" s="5" t="n">
        <f aca="false">SUM(K15,L15,M15)</f>
        <v>0</v>
      </c>
      <c r="O15" s="5" t="n">
        <f aca="false">COUNTIFS(Olympiade_1!$B:$B, $B15, Olympiade_1!$A:$A,1)+COUNTIFS(Olympiade_2!$B:$B, $B15, Olympiade_2!$A:$A,1)+COUNTIFS(Olympiade_3!$B:$B, $B15, Olympiade_3!$A:$A,1)+COUNTIFS(Olympiade_4!$B:$B, $B15, Olympiade_4!$A:$A,1)+COUNTIFS(Olympiade_5!$B:$B, $B15, Olympiade_5!$A:$A,1)+COUNTIFS(Olympiade_6!$B:$B, $B15, Olympiade_6!$A:$A,1)+COUNTIFS(Olympiade_7!$B:$B, $B15, Olympiade_7!$A:$A,1)+COUNTIFS(Olympiade_8!$B:$B, $B15, Olympiade_8!$A:$A,1)</f>
        <v>0</v>
      </c>
      <c r="P15" s="5" t="n">
        <f aca="false">COUNTIFS(Olympiade_1!$B:$B, $B15, Olympiade_1!$A:$A,2)+COUNTIFS(Olympiade_2!$B:$B, $B15, Olympiade_2!$A:$A,2)+COUNTIFS(Olympiade_3!$B:$B, $B15, Olympiade_3!$A:$A,2)+COUNTIFS(Olympiade_4!$B:$B, $B15, Olympiade_4!$A:$A,2)+COUNTIFS(Olympiade_5!$B:$B, $B15, Olympiade_5!$A:$A,2)+COUNTIFS(Olympiade_6!$B:$B, $B15, Olympiade_6!$A:$A,2)+COUNTIFS(Olympiade_7!$B:$B, $B15, Olympiade_7!$A:$A,2)+COUNTIFS(Olympiade_8!$B:$B, $B15, Olympiade_8!$A:$A,2)</f>
        <v>1</v>
      </c>
      <c r="Q15" s="5" t="n">
        <f aca="false">COUNTIFS(Olympiade_1!$B:$B, $B15, Olympiade_1!$A:$A,3)+COUNTIFS(Olympiade_2!$B:$B, $B15, Olympiade_2!$A:$A,3)+COUNTIFS(Olympiade_3!$B:$B, $B15, Olympiade_3!$A:$A,3)+COUNTIFS(Olympiade_4!$B:$B, $B15, Olympiade_4!$A:$A,3)+COUNTIFS(Olympiade_5!$B:$B, $B15, Olympiade_5!$A:$A,3)+COUNTIFS(Olympiade_6!$B:$B, $B15, Olympiade_6!$A:$A,3)+COUNTIFS(Olympiade_7!$B:$B, $B15, Olympiade_7!$A:$A,3)+COUNTIFS(Olympiade_8!$B:$B, $B15, Olympiade_8!$A:$A,3)</f>
        <v>1</v>
      </c>
      <c r="R15" s="5" t="n">
        <f aca="false">SUM(O15,P15,Q15)</f>
        <v>2</v>
      </c>
      <c r="S15" s="5" t="n">
        <f aca="false">SUM(C15,G15,K15,O15)</f>
        <v>2</v>
      </c>
      <c r="T15" s="5" t="n">
        <f aca="false">SUM(D15,H15,L15,P15)</f>
        <v>1</v>
      </c>
      <c r="U15" s="5" t="n">
        <f aca="false">SUM(E15,I15,M15,Q15)</f>
        <v>2</v>
      </c>
      <c r="V15" s="5" t="n">
        <f aca="false">SUM(S15,T15,U15)</f>
        <v>5</v>
      </c>
      <c r="W15" s="5" t="n">
        <f aca="false">SUMIFS(Database!B:B,Database!A:A,B15) + SUMIFS(Database!F:F,Database!A:A,B15)</f>
        <v>90</v>
      </c>
      <c r="X15" s="5" t="e">
        <f aca="false" t="array" ref="X15:X15">AVERAGE(xlookup(B15, Database!K:K, Database!L:N,NA()))</f>
        <v>#N/A</v>
      </c>
    </row>
    <row r="16" customFormat="false" ht="15" hidden="false" customHeight="false" outlineLevel="0" collapsed="false">
      <c r="A16" s="5" t="n">
        <v>13</v>
      </c>
      <c r="B16" s="5" t="s">
        <v>18</v>
      </c>
      <c r="C16" s="5" t="n">
        <f aca="false">COUNTIFS(Olympiade_1!$B:$B,$B16,Olympiade_1!$F:$F,1)+COUNTIFS(Olympiade_2!$B:$B,$B16,Olympiade_2!$F:$F,1)+COUNTIFS(Olympiade_3!$B:$B,$B16,Olympiade_3!$F:$F,1)+COUNTIFS(Olympiade_4!$B:$B,$B16,Olympiade_4!$F:$F,1)+COUNTIFS(Olympiade_5!$B:$B,$B16,Olympiade_5!$F:$F,1)+COUNTIFS(Olympiade_6!$B:$B,$B16,Olympiade_6!$F:$F,1)+COUNTIFS(Olympiade_7!$B:$B,$B16,Olympiade_7!$F:$F,1)+COUNTIFS(Olympiade_8!$B:$B,$B16,Olympiade_8!$F:$F,1)</f>
        <v>2</v>
      </c>
      <c r="D16" s="5" t="n">
        <f aca="false">COUNTIFS(Olympiade_1!$B:$B, $B16, Olympiade_1!$F:$F,2)+COUNTIFS(Olympiade_2!$B:$B, $B16, Olympiade_2!$F:$F,2)+COUNTIFS(Olympiade_3!$B:$B, $B16, Olympiade_3!$F:$F,2)+COUNTIFS(Olympiade_4!$B:$B, $B16, Olympiade_4!$F:$F,2)+COUNTIFS(Olympiade_5!$B:$B, $B16, Olympiade_5!$F:$F,2)+COUNTIFS(Olympiade_6!$B:$B, $B16, Olympiade_6!$F:$F,2)+COUNTIFS(Olympiade_7!$B:$B, $B16, Olympiade_7!$F:$F,2)+COUNTIFS(Olympiade_8!$B:$B, $B16, Olympiade_8!$F:$F,2)</f>
        <v>0</v>
      </c>
      <c r="E16" s="5" t="n">
        <f aca="false">COUNTIFS(Olympiade_1!$B:$B, $B16, Olympiade_1!$F:$F,3)+COUNTIFS(Olympiade_2!$B:$B, $B16, Olympiade_2!$F:$F,3)+COUNTIFS(Olympiade_3!$B:$B, $B16, Olympiade_3!$F:$F,3)+COUNTIFS(Olympiade_4!$B:$B, $B16, Olympiade_4!$F:$F,3)+COUNTIFS(Olympiade_5!$B:$B, $B16, Olympiade_5!$F:$F,3)+COUNTIFS(Olympiade_6!$B:$B, $B16, Olympiade_6!$F:$F,3)+COUNTIFS(Olympiade_7!$B:$B, $B16, Olympiade_7!$F:$F,3)+COUNTIFS(Olympiade_8!$B:$B, $B16, Olympiade_8!$F:$F,3)</f>
        <v>2</v>
      </c>
      <c r="F16" s="5" t="n">
        <f aca="false">SUM(C16,D16,E16)</f>
        <v>4</v>
      </c>
      <c r="G16" s="5" t="n">
        <f aca="false">COUNTIFS(Olympiade_1!$B:$B, $B16, Olympiade_1!$G:$G,1)+COUNTIFS(Olympiade_2!$B:$B, $B16, Olympiade_2!$G:$G,1)+COUNTIFS(Olympiade_3!$B:$B, $B16, Olympiade_3!$G:$G,1)+COUNTIFS(Olympiade_4!$B:$B, $B16, Olympiade_4!$G:$G,1)+COUNTIFS(Olympiade_5!$B:$B, $B16, Olympiade_5!$G:$G,1)+COUNTIFS(Olympiade_6!$B:$B, $B16, Olympiade_6!$G:$G,1)+COUNTIFS(Olympiade_7!$B:$B, $B16, Olympiade_7!$G:$G,1)+COUNTIFS(Olympiade_8!$B:$B, $B16, Olympiade_8!$G:$G,1)</f>
        <v>1</v>
      </c>
      <c r="H16" s="5" t="n">
        <f aca="false">COUNTIFS(Olympiade_1!$B:$B, $B16, Olympiade_1!$G:$G,2)+COUNTIFS(Olympiade_2!$B:$B, $B16, Olympiade_2!$G:$G,2)+COUNTIFS(Olympiade_3!$B:$B, $B16, Olympiade_3!$G:$G,2)+COUNTIFS(Olympiade_4!$B:$B, $B16, Olympiade_4!$G:$G,2)+COUNTIFS(Olympiade_5!$B:$B, $B16, Olympiade_5!$G:$G,2)+COUNTIFS(Olympiade_6!$B:$B, $B16, Olympiade_6!$G:$G,2)+COUNTIFS(Olympiade_7!$B:$B, $B16, Olympiade_7!$G:$G,2)+COUNTIFS(Olympiade_8!$B:$B, $B16, Olympiade_8!$G:$G,2)</f>
        <v>0</v>
      </c>
      <c r="I16" s="5" t="n">
        <f aca="false">COUNTIFS(Olympiade_1!$B:$B, $B16, Olympiade_1!$G:$G,3)+COUNTIFS(Olympiade_2!$B:$B, $B16, Olympiade_2!$G:$G,3)+COUNTIFS(Olympiade_3!$B:$B, $B16, Olympiade_3!$G:$G,3)+COUNTIFS(Olympiade_4!$B:$B, $B16, Olympiade_4!$G:$G,3)+COUNTIFS(Olympiade_5!$B:$B, $B16, Olympiade_5!$G:$G,3)+COUNTIFS(Olympiade_6!$B:$B, $B16, Olympiade_6!$G:$G,3)+COUNTIFS(Olympiade_7!$B:$B, $B16, Olympiade_7!$G:$G,3)+COUNTIFS(Olympiade_8!$B:$B, $B16, Olympiade_8!$G:$G,3)</f>
        <v>0</v>
      </c>
      <c r="J16" s="5" t="n">
        <f aca="false">SUM(G16,H16,I16)</f>
        <v>1</v>
      </c>
      <c r="K16" s="5" t="n">
        <f aca="false">COUNTIFS(Olympiade_1!$B:$B, $B16, Olympiade_1!$H:$H,1)+COUNTIFS(Olympiade_2!$B:$B, $B16, Olympiade_2!$H:$H,1)+COUNTIFS(Olympiade_3!$B:$B, $B16, Olympiade_3!$H:$H,1)+COUNTIFS(Olympiade_4!$B:$B, $B16, Olympiade_4!$H:$H,1)+COUNTIFS(Olympiade_5!$B:$B, $B16, Olympiade_5!$H:$H,1)+COUNTIFS(Olympiade_6!$B:$B, $B16, Olympiade_6!$H:$H,1)+COUNTIFS(Olympiade_7!$B:$B, $B16, Olympiade_7!$H:$H,1)+COUNTIFS(Olympiade_8!$B:$B, $B16, Olympiade_8!$H:$H,1)</f>
        <v>0</v>
      </c>
      <c r="L16" s="5" t="n">
        <f aca="false">COUNTIFS(Olympiade_1!$B:$B, $B16, Olympiade_1!$H:$H,2)+COUNTIFS(Olympiade_2!$B:$B, $B16, Olympiade_2!$H:$H,2)+COUNTIFS(Olympiade_3!$B:$B, $B16, Olympiade_3!$H:$H,2)+COUNTIFS(Olympiade_4!$B:$B, $B16, Olympiade_4!$H:$H,2)+COUNTIFS(Olympiade_5!$B:$B, $B16, Olympiade_5!$H:$H,2)+COUNTIFS(Olympiade_6!$B:$B, $B16, Olympiade_6!$H:$H,2)+COUNTIFS(Olympiade_7!$B:$B, $B16, Olympiade_7!$H:$H,2)+COUNTIFS(Olympiade_8!$B:$B, $B16, Olympiade_8!$H:$H,2)</f>
        <v>0</v>
      </c>
      <c r="M16" s="5" t="n">
        <f aca="false">COUNTIFS(Olympiade_1!$B:$B, $B16, Olympiade_1!$H:$H,3)+COUNTIFS(Olympiade_2!$B:$B, $B16, Olympiade_2!$H:$H,3)+COUNTIFS(Olympiade_3!$B:$B, $B16, Olympiade_3!$H:$H,3)+COUNTIFS(Olympiade_4!$B:$B, $B16, Olympiade_4!$H:$H,3)+COUNTIFS(Olympiade_5!$B:$B, $B16, Olympiade_5!$H:$H,3)+COUNTIFS(Olympiade_6!$B:$B, $B16, Olympiade_6!$H:$H,3)+COUNTIFS(Olympiade_7!$B:$B, $B16, Olympiade_7!$H:$H,3)+COUNTIFS(Olympiade_8!$B:$B, $B16, Olympiade_8!$H:$H,3)</f>
        <v>1</v>
      </c>
      <c r="N16" s="5" t="n">
        <f aca="false">SUM(K16,L16,M16)</f>
        <v>1</v>
      </c>
      <c r="O16" s="5" t="n">
        <f aca="false">COUNTIFS(Olympiade_1!$B:$B, $B16, Olympiade_1!$A:$A,1)+COUNTIFS(Olympiade_2!$B:$B, $B16, Olympiade_2!$A:$A,1)+COUNTIFS(Olympiade_3!$B:$B, $B16, Olympiade_3!$A:$A,1)+COUNTIFS(Olympiade_4!$B:$B, $B16, Olympiade_4!$A:$A,1)+COUNTIFS(Olympiade_5!$B:$B, $B16, Olympiade_5!$A:$A,1)+COUNTIFS(Olympiade_6!$B:$B, $B16, Olympiade_6!$A:$A,1)+COUNTIFS(Olympiade_7!$B:$B, $B16, Olympiade_7!$A:$A,1)+COUNTIFS(Olympiade_8!$B:$B, $B16, Olympiade_8!$A:$A,1)</f>
        <v>0</v>
      </c>
      <c r="P16" s="5" t="n">
        <f aca="false">COUNTIFS(Olympiade_1!$B:$B, $B16, Olympiade_1!$A:$A,2)+COUNTIFS(Olympiade_2!$B:$B, $B16, Olympiade_2!$A:$A,2)+COUNTIFS(Olympiade_3!$B:$B, $B16, Olympiade_3!$A:$A,2)+COUNTIFS(Olympiade_4!$B:$B, $B16, Olympiade_4!$A:$A,2)+COUNTIFS(Olympiade_5!$B:$B, $B16, Olympiade_5!$A:$A,2)+COUNTIFS(Olympiade_6!$B:$B, $B16, Olympiade_6!$A:$A,2)+COUNTIFS(Olympiade_7!$B:$B, $B16, Olympiade_7!$A:$A,2)+COUNTIFS(Olympiade_8!$B:$B, $B16, Olympiade_8!$A:$A,2)</f>
        <v>1</v>
      </c>
      <c r="Q16" s="5" t="n">
        <f aca="false">COUNTIFS(Olympiade_1!$B:$B, $B16, Olympiade_1!$A:$A,3)+COUNTIFS(Olympiade_2!$B:$B, $B16, Olympiade_2!$A:$A,3)+COUNTIFS(Olympiade_3!$B:$B, $B16, Olympiade_3!$A:$A,3)+COUNTIFS(Olympiade_4!$B:$B, $B16, Olympiade_4!$A:$A,3)+COUNTIFS(Olympiade_5!$B:$B, $B16, Olympiade_5!$A:$A,3)+COUNTIFS(Olympiade_6!$B:$B, $B16, Olympiade_6!$A:$A,3)+COUNTIFS(Olympiade_7!$B:$B, $B16, Olympiade_7!$A:$A,3)+COUNTIFS(Olympiade_8!$B:$B, $B16, Olympiade_8!$A:$A,3)</f>
        <v>0</v>
      </c>
      <c r="R16" s="5" t="n">
        <f aca="false">SUM(O16,P16,Q16)</f>
        <v>1</v>
      </c>
      <c r="S16" s="5" t="n">
        <f aca="false">SUM(C16,G16,K16,O16)</f>
        <v>3</v>
      </c>
      <c r="T16" s="5" t="n">
        <f aca="false">SUM(D16,H16,L16,P16)</f>
        <v>1</v>
      </c>
      <c r="U16" s="5" t="n">
        <f aca="false">SUM(E16,I16,M16,Q16)</f>
        <v>3</v>
      </c>
      <c r="V16" s="5" t="n">
        <f aca="false">SUM(S16,T16,U16)</f>
        <v>7</v>
      </c>
      <c r="W16" s="5" t="n">
        <f aca="false">SUMIFS(Database!B:B,Database!A:A,B16) + SUMIFS(Database!F:F,Database!A:A,B16)</f>
        <v>140</v>
      </c>
      <c r="X16" s="5" t="e">
        <f aca="false" t="array" ref="X16:X16">AVERAGE(xlookup(B16, Database!K:K, Database!L:N,NA()))</f>
        <v>#N/A</v>
      </c>
    </row>
    <row r="17" customFormat="false" ht="15" hidden="false" customHeight="false" outlineLevel="0" collapsed="false">
      <c r="A17" s="5" t="n">
        <v>16</v>
      </c>
      <c r="B17" s="5" t="s">
        <v>21</v>
      </c>
      <c r="C17" s="5" t="n">
        <f aca="false">COUNTIFS(Olympiade_1!$B:$B,$B17,Olympiade_1!$F:$F,1)+COUNTIFS(Olympiade_2!$B:$B,$B17,Olympiade_2!$F:$F,1)+COUNTIFS(Olympiade_3!$B:$B,$B17,Olympiade_3!$F:$F,1)+COUNTIFS(Olympiade_4!$B:$B,$B17,Olympiade_4!$F:$F,1)+COUNTIFS(Olympiade_5!$B:$B,$B17,Olympiade_5!$F:$F,1)+COUNTIFS(Olympiade_6!$B:$B,$B17,Olympiade_6!$F:$F,1)+COUNTIFS(Olympiade_7!$B:$B,$B17,Olympiade_7!$F:$F,1)+COUNTIFS(Olympiade_8!$B:$B,$B17,Olympiade_8!$F:$F,1)</f>
        <v>0</v>
      </c>
      <c r="D17" s="5" t="n">
        <f aca="false">COUNTIFS(Olympiade_1!$B:$B, $B17, Olympiade_1!$F:$F,2)+COUNTIFS(Olympiade_2!$B:$B, $B17, Olympiade_2!$F:$F,2)+COUNTIFS(Olympiade_3!$B:$B, $B17, Olympiade_3!$F:$F,2)+COUNTIFS(Olympiade_4!$B:$B, $B17, Olympiade_4!$F:$F,2)+COUNTIFS(Olympiade_5!$B:$B, $B17, Olympiade_5!$F:$F,2)+COUNTIFS(Olympiade_6!$B:$B, $B17, Olympiade_6!$F:$F,2)+COUNTIFS(Olympiade_7!$B:$B, $B17, Olympiade_7!$F:$F,2)+COUNTIFS(Olympiade_8!$B:$B, $B17, Olympiade_8!$F:$F,2)</f>
        <v>0</v>
      </c>
      <c r="E17" s="5" t="n">
        <f aca="false">COUNTIFS(Olympiade_1!$B:$B, $B17, Olympiade_1!$F:$F,3)+COUNTIFS(Olympiade_2!$B:$B, $B17, Olympiade_2!$F:$F,3)+COUNTIFS(Olympiade_3!$B:$B, $B17, Olympiade_3!$F:$F,3)+COUNTIFS(Olympiade_4!$B:$B, $B17, Olympiade_4!$F:$F,3)+COUNTIFS(Olympiade_5!$B:$B, $B17, Olympiade_5!$F:$F,3)+COUNTIFS(Olympiade_6!$B:$B, $B17, Olympiade_6!$F:$F,3)+COUNTIFS(Olympiade_7!$B:$B, $B17, Olympiade_7!$F:$F,3)+COUNTIFS(Olympiade_8!$B:$B, $B17, Olympiade_8!$F:$F,3)</f>
        <v>0</v>
      </c>
      <c r="F17" s="5" t="n">
        <f aca="false">SUM(C17,D17,E17)</f>
        <v>0</v>
      </c>
      <c r="G17" s="5" t="n">
        <f aca="false">COUNTIFS(Olympiade_1!$B:$B, $B17, Olympiade_1!$G:$G,1)+COUNTIFS(Olympiade_2!$B:$B, $B17, Olympiade_2!$G:$G,1)+COUNTIFS(Olympiade_3!$B:$B, $B17, Olympiade_3!$G:$G,1)+COUNTIFS(Olympiade_4!$B:$B, $B17, Olympiade_4!$G:$G,1)+COUNTIFS(Olympiade_5!$B:$B, $B17, Olympiade_5!$G:$G,1)+COUNTIFS(Olympiade_6!$B:$B, $B17, Olympiade_6!$G:$G,1)+COUNTIFS(Olympiade_7!$B:$B, $B17, Olympiade_7!$G:$G,1)+COUNTIFS(Olympiade_8!$B:$B, $B17, Olympiade_8!$G:$G,1)</f>
        <v>1</v>
      </c>
      <c r="H17" s="5" t="n">
        <f aca="false">COUNTIFS(Olympiade_1!$B:$B, $B17, Olympiade_1!$G:$G,2)+COUNTIFS(Olympiade_2!$B:$B, $B17, Olympiade_2!$G:$G,2)+COUNTIFS(Olympiade_3!$B:$B, $B17, Olympiade_3!$G:$G,2)+COUNTIFS(Olympiade_4!$B:$B, $B17, Olympiade_4!$G:$G,2)+COUNTIFS(Olympiade_5!$B:$B, $B17, Olympiade_5!$G:$G,2)+COUNTIFS(Olympiade_6!$B:$B, $B17, Olympiade_6!$G:$G,2)+COUNTIFS(Olympiade_7!$B:$B, $B17, Olympiade_7!$G:$G,2)+COUNTIFS(Olympiade_8!$B:$B, $B17, Olympiade_8!$G:$G,2)</f>
        <v>0</v>
      </c>
      <c r="I17" s="5" t="n">
        <f aca="false">COUNTIFS(Olympiade_1!$B:$B, $B17, Olympiade_1!$G:$G,3)+COUNTIFS(Olympiade_2!$B:$B, $B17, Olympiade_2!$G:$G,3)+COUNTIFS(Olympiade_3!$B:$B, $B17, Olympiade_3!$G:$G,3)+COUNTIFS(Olympiade_4!$B:$B, $B17, Olympiade_4!$G:$G,3)+COUNTIFS(Olympiade_5!$B:$B, $B17, Olympiade_5!$G:$G,3)+COUNTIFS(Olympiade_6!$B:$B, $B17, Olympiade_6!$G:$G,3)+COUNTIFS(Olympiade_7!$B:$B, $B17, Olympiade_7!$G:$G,3)+COUNTIFS(Olympiade_8!$B:$B, $B17, Olympiade_8!$G:$G,3)</f>
        <v>0</v>
      </c>
      <c r="J17" s="5" t="n">
        <f aca="false">SUM(G17,H17,I17)</f>
        <v>1</v>
      </c>
      <c r="K17" s="5" t="n">
        <f aca="false">COUNTIFS(Olympiade_1!$B:$B, $B17, Olympiade_1!$H:$H,1)+COUNTIFS(Olympiade_2!$B:$B, $B17, Olympiade_2!$H:$H,1)+COUNTIFS(Olympiade_3!$B:$B, $B17, Olympiade_3!$H:$H,1)+COUNTIFS(Olympiade_4!$B:$B, $B17, Olympiade_4!$H:$H,1)+COUNTIFS(Olympiade_5!$B:$B, $B17, Olympiade_5!$H:$H,1)+COUNTIFS(Olympiade_6!$B:$B, $B17, Olympiade_6!$H:$H,1)+COUNTIFS(Olympiade_7!$B:$B, $B17, Olympiade_7!$H:$H,1)+COUNTIFS(Olympiade_8!$B:$B, $B17, Olympiade_8!$H:$H,1)</f>
        <v>0</v>
      </c>
      <c r="L17" s="5" t="n">
        <f aca="false">COUNTIFS(Olympiade_1!$B:$B, $B17, Olympiade_1!$H:$H,2)+COUNTIFS(Olympiade_2!$B:$B, $B17, Olympiade_2!$H:$H,2)+COUNTIFS(Olympiade_3!$B:$B, $B17, Olympiade_3!$H:$H,2)+COUNTIFS(Olympiade_4!$B:$B, $B17, Olympiade_4!$H:$H,2)+COUNTIFS(Olympiade_5!$B:$B, $B17, Olympiade_5!$H:$H,2)+COUNTIFS(Olympiade_6!$B:$B, $B17, Olympiade_6!$H:$H,2)+COUNTIFS(Olympiade_7!$B:$B, $B17, Olympiade_7!$H:$H,2)+COUNTIFS(Olympiade_8!$B:$B, $B17, Olympiade_8!$H:$H,2)</f>
        <v>0</v>
      </c>
      <c r="M17" s="5" t="n">
        <f aca="false">COUNTIFS(Olympiade_1!$B:$B, $B17, Olympiade_1!$H:$H,3)+COUNTIFS(Olympiade_2!$B:$B, $B17, Olympiade_2!$H:$H,3)+COUNTIFS(Olympiade_3!$B:$B, $B17, Olympiade_3!$H:$H,3)+COUNTIFS(Olympiade_4!$B:$B, $B17, Olympiade_4!$H:$H,3)+COUNTIFS(Olympiade_5!$B:$B, $B17, Olympiade_5!$H:$H,3)+COUNTIFS(Olympiade_6!$B:$B, $B17, Olympiade_6!$H:$H,3)+COUNTIFS(Olympiade_7!$B:$B, $B17, Olympiade_7!$H:$H,3)+COUNTIFS(Olympiade_8!$B:$B, $B17, Olympiade_8!$H:$H,3)</f>
        <v>0</v>
      </c>
      <c r="N17" s="5" t="n">
        <f aca="false">SUM(K17,L17,M17)</f>
        <v>0</v>
      </c>
      <c r="O17" s="5" t="n">
        <f aca="false">COUNTIFS(Olympiade_1!$B:$B, $B17, Olympiade_1!$A:$A,1)+COUNTIFS(Olympiade_2!$B:$B, $B17, Olympiade_2!$A:$A,1)+COUNTIFS(Olympiade_3!$B:$B, $B17, Olympiade_3!$A:$A,1)+COUNTIFS(Olympiade_4!$B:$B, $B17, Olympiade_4!$A:$A,1)+COUNTIFS(Olympiade_5!$B:$B, $B17, Olympiade_5!$A:$A,1)+COUNTIFS(Olympiade_6!$B:$B, $B17, Olympiade_6!$A:$A,1)+COUNTIFS(Olympiade_7!$B:$B, $B17, Olympiade_7!$A:$A,1)+COUNTIFS(Olympiade_8!$B:$B, $B17, Olympiade_8!$A:$A,1)</f>
        <v>0</v>
      </c>
      <c r="P17" s="5" t="n">
        <f aca="false">COUNTIFS(Olympiade_1!$B:$B, $B17, Olympiade_1!$A:$A,2)+COUNTIFS(Olympiade_2!$B:$B, $B17, Olympiade_2!$A:$A,2)+COUNTIFS(Olympiade_3!$B:$B, $B17, Olympiade_3!$A:$A,2)+COUNTIFS(Olympiade_4!$B:$B, $B17, Olympiade_4!$A:$A,2)+COUNTIFS(Olympiade_5!$B:$B, $B17, Olympiade_5!$A:$A,2)+COUNTIFS(Olympiade_6!$B:$B, $B17, Olympiade_6!$A:$A,2)+COUNTIFS(Olympiade_7!$B:$B, $B17, Olympiade_7!$A:$A,2)+COUNTIFS(Olympiade_8!$B:$B, $B17, Olympiade_8!$A:$A,2)</f>
        <v>1</v>
      </c>
      <c r="Q17" s="5" t="n">
        <f aca="false">COUNTIFS(Olympiade_1!$B:$B, $B17, Olympiade_1!$A:$A,3)+COUNTIFS(Olympiade_2!$B:$B, $B17, Olympiade_2!$A:$A,3)+COUNTIFS(Olympiade_3!$B:$B, $B17, Olympiade_3!$A:$A,3)+COUNTIFS(Olympiade_4!$B:$B, $B17, Olympiade_4!$A:$A,3)+COUNTIFS(Olympiade_5!$B:$B, $B17, Olympiade_5!$A:$A,3)+COUNTIFS(Olympiade_6!$B:$B, $B17, Olympiade_6!$A:$A,3)+COUNTIFS(Olympiade_7!$B:$B, $B17, Olympiade_7!$A:$A,3)+COUNTIFS(Olympiade_8!$B:$B, $B17, Olympiade_8!$A:$A,3)</f>
        <v>0</v>
      </c>
      <c r="R17" s="5" t="n">
        <f aca="false">SUM(O17,P17,Q17)</f>
        <v>1</v>
      </c>
      <c r="S17" s="5" t="n">
        <f aca="false">SUM(C17,G17,K17,O17)</f>
        <v>1</v>
      </c>
      <c r="T17" s="5" t="n">
        <f aca="false">SUM(D17,H17,L17,P17)</f>
        <v>1</v>
      </c>
      <c r="U17" s="5" t="n">
        <f aca="false">SUM(E17,I17,M17,Q17)</f>
        <v>0</v>
      </c>
      <c r="V17" s="5" t="n">
        <f aca="false">SUM(S17,T17,U17)</f>
        <v>2</v>
      </c>
      <c r="W17" s="5" t="n">
        <f aca="false">SUMIFS(Database!B:B,Database!A:A,B17) + SUMIFS(Database!F:F,Database!A:A,B17)</f>
        <v>110</v>
      </c>
      <c r="X17" s="5" t="e">
        <f aca="false" t="array" ref="X17:X17">AVERAGE(xlookup(B17, Database!K:K, Database!L:N,NA()))</f>
        <v>#N/A</v>
      </c>
    </row>
    <row r="18" customFormat="false" ht="15" hidden="false" customHeight="false" outlineLevel="0" collapsed="false">
      <c r="A18" s="5" t="n">
        <v>24</v>
      </c>
      <c r="B18" s="5" t="s">
        <v>29</v>
      </c>
      <c r="C18" s="5" t="n">
        <f aca="false">COUNTIFS(Olympiade_1!$B:$B,$B18,Olympiade_1!$F:$F,1)+COUNTIFS(Olympiade_2!$B:$B,$B18,Olympiade_2!$F:$F,1)+COUNTIFS(Olympiade_3!$B:$B,$B18,Olympiade_3!$F:$F,1)+COUNTIFS(Olympiade_4!$B:$B,$B18,Olympiade_4!$F:$F,1)+COUNTIFS(Olympiade_5!$B:$B,$B18,Olympiade_5!$F:$F,1)+COUNTIFS(Olympiade_6!$B:$B,$B18,Olympiade_6!$F:$F,1)+COUNTIFS(Olympiade_7!$B:$B,$B18,Olympiade_7!$F:$F,1)+COUNTIFS(Olympiade_8!$B:$B,$B18,Olympiade_8!$F:$F,1)</f>
        <v>0</v>
      </c>
      <c r="D18" s="5" t="n">
        <f aca="false">COUNTIFS(Olympiade_1!$B:$B, $B18, Olympiade_1!$F:$F,2)+COUNTIFS(Olympiade_2!$B:$B, $B18, Olympiade_2!$F:$F,2)+COUNTIFS(Olympiade_3!$B:$B, $B18, Olympiade_3!$F:$F,2)+COUNTIFS(Olympiade_4!$B:$B, $B18, Olympiade_4!$F:$F,2)+COUNTIFS(Olympiade_5!$B:$B, $B18, Olympiade_5!$F:$F,2)+COUNTIFS(Olympiade_6!$B:$B, $B18, Olympiade_6!$F:$F,2)+COUNTIFS(Olympiade_7!$B:$B, $B18, Olympiade_7!$F:$F,2)+COUNTIFS(Olympiade_8!$B:$B, $B18, Olympiade_8!$F:$F,2)</f>
        <v>1</v>
      </c>
      <c r="E18" s="5" t="n">
        <f aca="false">COUNTIFS(Olympiade_1!$B:$B, $B18, Olympiade_1!$F:$F,3)+COUNTIFS(Olympiade_2!$B:$B, $B18, Olympiade_2!$F:$F,3)+COUNTIFS(Olympiade_3!$B:$B, $B18, Olympiade_3!$F:$F,3)+COUNTIFS(Olympiade_4!$B:$B, $B18, Olympiade_4!$F:$F,3)+COUNTIFS(Olympiade_5!$B:$B, $B18, Olympiade_5!$F:$F,3)+COUNTIFS(Olympiade_6!$B:$B, $B18, Olympiade_6!$F:$F,3)+COUNTIFS(Olympiade_7!$B:$B, $B18, Olympiade_7!$F:$F,3)+COUNTIFS(Olympiade_8!$B:$B, $B18, Olympiade_8!$F:$F,3)</f>
        <v>0</v>
      </c>
      <c r="F18" s="5" t="n">
        <f aca="false">SUM(C18,D18,E18)</f>
        <v>1</v>
      </c>
      <c r="G18" s="5" t="n">
        <f aca="false">COUNTIFS(Olympiade_1!$B:$B, $B18, Olympiade_1!$G:$G,1)+COUNTIFS(Olympiade_2!$B:$B, $B18, Olympiade_2!$G:$G,1)+COUNTIFS(Olympiade_3!$B:$B, $B18, Olympiade_3!$G:$G,1)+COUNTIFS(Olympiade_4!$B:$B, $B18, Olympiade_4!$G:$G,1)+COUNTIFS(Olympiade_5!$B:$B, $B18, Olympiade_5!$G:$G,1)+COUNTIFS(Olympiade_6!$B:$B, $B18, Olympiade_6!$G:$G,1)+COUNTIFS(Olympiade_7!$B:$B, $B18, Olympiade_7!$G:$G,1)+COUNTIFS(Olympiade_8!$B:$B, $B18, Olympiade_8!$G:$G,1)</f>
        <v>0</v>
      </c>
      <c r="H18" s="5" t="n">
        <f aca="false">COUNTIFS(Olympiade_1!$B:$B, $B18, Olympiade_1!$G:$G,2)+COUNTIFS(Olympiade_2!$B:$B, $B18, Olympiade_2!$G:$G,2)+COUNTIFS(Olympiade_3!$B:$B, $B18, Olympiade_3!$G:$G,2)+COUNTIFS(Olympiade_4!$B:$B, $B18, Olympiade_4!$G:$G,2)+COUNTIFS(Olympiade_5!$B:$B, $B18, Olympiade_5!$G:$G,2)+COUNTIFS(Olympiade_6!$B:$B, $B18, Olympiade_6!$G:$G,2)+COUNTIFS(Olympiade_7!$B:$B, $B18, Olympiade_7!$G:$G,2)+COUNTIFS(Olympiade_8!$B:$B, $B18, Olympiade_8!$G:$G,2)</f>
        <v>0</v>
      </c>
      <c r="I18" s="5" t="n">
        <f aca="false">COUNTIFS(Olympiade_1!$B:$B, $B18, Olympiade_1!$G:$G,3)+COUNTIFS(Olympiade_2!$B:$B, $B18, Olympiade_2!$G:$G,3)+COUNTIFS(Olympiade_3!$B:$B, $B18, Olympiade_3!$G:$G,3)+COUNTIFS(Olympiade_4!$B:$B, $B18, Olympiade_4!$G:$G,3)+COUNTIFS(Olympiade_5!$B:$B, $B18, Olympiade_5!$G:$G,3)+COUNTIFS(Olympiade_6!$B:$B, $B18, Olympiade_6!$G:$G,3)+COUNTIFS(Olympiade_7!$B:$B, $B18, Olympiade_7!$G:$G,3)+COUNTIFS(Olympiade_8!$B:$B, $B18, Olympiade_8!$G:$G,3)</f>
        <v>0</v>
      </c>
      <c r="J18" s="5" t="n">
        <f aca="false">SUM(G18,H18,I18)</f>
        <v>0</v>
      </c>
      <c r="K18" s="5" t="n">
        <f aca="false">COUNTIFS(Olympiade_1!$B:$B, $B18, Olympiade_1!$H:$H,1)+COUNTIFS(Olympiade_2!$B:$B, $B18, Olympiade_2!$H:$H,1)+COUNTIFS(Olympiade_3!$B:$B, $B18, Olympiade_3!$H:$H,1)+COUNTIFS(Olympiade_4!$B:$B, $B18, Olympiade_4!$H:$H,1)+COUNTIFS(Olympiade_5!$B:$B, $B18, Olympiade_5!$H:$H,1)+COUNTIFS(Olympiade_6!$B:$B, $B18, Olympiade_6!$H:$H,1)+COUNTIFS(Olympiade_7!$B:$B, $B18, Olympiade_7!$H:$H,1)+COUNTIFS(Olympiade_8!$B:$B, $B18, Olympiade_8!$H:$H,1)</f>
        <v>0</v>
      </c>
      <c r="L18" s="5" t="n">
        <f aca="false">COUNTIFS(Olympiade_1!$B:$B, $B18, Olympiade_1!$H:$H,2)+COUNTIFS(Olympiade_2!$B:$B, $B18, Olympiade_2!$H:$H,2)+COUNTIFS(Olympiade_3!$B:$B, $B18, Olympiade_3!$H:$H,2)+COUNTIFS(Olympiade_4!$B:$B, $B18, Olympiade_4!$H:$H,2)+COUNTIFS(Olympiade_5!$B:$B, $B18, Olympiade_5!$H:$H,2)+COUNTIFS(Olympiade_6!$B:$B, $B18, Olympiade_6!$H:$H,2)+COUNTIFS(Olympiade_7!$B:$B, $B18, Olympiade_7!$H:$H,2)+COUNTIFS(Olympiade_8!$B:$B, $B18, Olympiade_8!$H:$H,2)</f>
        <v>0</v>
      </c>
      <c r="M18" s="5" t="n">
        <f aca="false">COUNTIFS(Olympiade_1!$B:$B, $B18, Olympiade_1!$H:$H,3)+COUNTIFS(Olympiade_2!$B:$B, $B18, Olympiade_2!$H:$H,3)+COUNTIFS(Olympiade_3!$B:$B, $B18, Olympiade_3!$H:$H,3)+COUNTIFS(Olympiade_4!$B:$B, $B18, Olympiade_4!$H:$H,3)+COUNTIFS(Olympiade_5!$B:$B, $B18, Olympiade_5!$H:$H,3)+COUNTIFS(Olympiade_6!$B:$B, $B18, Olympiade_6!$H:$H,3)+COUNTIFS(Olympiade_7!$B:$B, $B18, Olympiade_7!$H:$H,3)+COUNTIFS(Olympiade_8!$B:$B, $B18, Olympiade_8!$H:$H,3)</f>
        <v>1</v>
      </c>
      <c r="N18" s="5" t="n">
        <f aca="false">SUM(K18,L18,M18)</f>
        <v>1</v>
      </c>
      <c r="O18" s="5" t="n">
        <f aca="false">COUNTIFS(Olympiade_1!$B:$B, $B18, Olympiade_1!$A:$A,1)+COUNTIFS(Olympiade_2!$B:$B, $B18, Olympiade_2!$A:$A,1)+COUNTIFS(Olympiade_3!$B:$B, $B18, Olympiade_3!$A:$A,1)+COUNTIFS(Olympiade_4!$B:$B, $B18, Olympiade_4!$A:$A,1)+COUNTIFS(Olympiade_5!$B:$B, $B18, Olympiade_5!$A:$A,1)+COUNTIFS(Olympiade_6!$B:$B, $B18, Olympiade_6!$A:$A,1)+COUNTIFS(Olympiade_7!$B:$B, $B18, Olympiade_7!$A:$A,1)+COUNTIFS(Olympiade_8!$B:$B, $B18, Olympiade_8!$A:$A,1)</f>
        <v>0</v>
      </c>
      <c r="P18" s="5" t="n">
        <f aca="false">COUNTIFS(Olympiade_1!$B:$B, $B18, Olympiade_1!$A:$A,2)+COUNTIFS(Olympiade_2!$B:$B, $B18, Olympiade_2!$A:$A,2)+COUNTIFS(Olympiade_3!$B:$B, $B18, Olympiade_3!$A:$A,2)+COUNTIFS(Olympiade_4!$B:$B, $B18, Olympiade_4!$A:$A,2)+COUNTIFS(Olympiade_5!$B:$B, $B18, Olympiade_5!$A:$A,2)+COUNTIFS(Olympiade_6!$B:$B, $B18, Olympiade_6!$A:$A,2)+COUNTIFS(Olympiade_7!$B:$B, $B18, Olympiade_7!$A:$A,2)+COUNTIFS(Olympiade_8!$B:$B, $B18, Olympiade_8!$A:$A,2)</f>
        <v>1</v>
      </c>
      <c r="Q18" s="5" t="n">
        <f aca="false">COUNTIFS(Olympiade_1!$B:$B, $B18, Olympiade_1!$A:$A,3)+COUNTIFS(Olympiade_2!$B:$B, $B18, Olympiade_2!$A:$A,3)+COUNTIFS(Olympiade_3!$B:$B, $B18, Olympiade_3!$A:$A,3)+COUNTIFS(Olympiade_4!$B:$B, $B18, Olympiade_4!$A:$A,3)+COUNTIFS(Olympiade_5!$B:$B, $B18, Olympiade_5!$A:$A,3)+COUNTIFS(Olympiade_6!$B:$B, $B18, Olympiade_6!$A:$A,3)+COUNTIFS(Olympiade_7!$B:$B, $B18, Olympiade_7!$A:$A,3)+COUNTIFS(Olympiade_8!$B:$B, $B18, Olympiade_8!$A:$A,3)</f>
        <v>0</v>
      </c>
      <c r="R18" s="5" t="n">
        <f aca="false">SUM(O18,P18,Q18)</f>
        <v>1</v>
      </c>
      <c r="S18" s="5" t="n">
        <f aca="false">SUM(C18,G18,K18,O18)</f>
        <v>0</v>
      </c>
      <c r="T18" s="5" t="n">
        <f aca="false">SUM(D18,H18,L18,P18)</f>
        <v>2</v>
      </c>
      <c r="U18" s="5" t="n">
        <f aca="false">SUM(E18,I18,M18,Q18)</f>
        <v>1</v>
      </c>
      <c r="V18" s="5" t="n">
        <f aca="false">SUM(S18,T18,U18)</f>
        <v>3</v>
      </c>
      <c r="W18" s="5" t="n">
        <f aca="false">SUMIFS(Database!B:B,Database!A:A,B18) + SUMIFS(Database!F:F,Database!A:A,B18)</f>
        <v>70</v>
      </c>
      <c r="X18" s="5" t="e">
        <f aca="false" t="array" ref="X18:X18">AVERAGE(xlookup(B18, Database!K:K, Database!L:N,NA()))</f>
        <v>#N/A</v>
      </c>
    </row>
    <row r="19" customFormat="false" ht="15" hidden="false" customHeight="false" outlineLevel="0" collapsed="false">
      <c r="A19" s="5" t="n">
        <v>25</v>
      </c>
      <c r="B19" s="5" t="s">
        <v>30</v>
      </c>
      <c r="C19" s="5" t="n">
        <f aca="false">COUNTIFS(Olympiade_1!$B:$B,$B19,Olympiade_1!$F:$F,1)+COUNTIFS(Olympiade_2!$B:$B,$B19,Olympiade_2!$F:$F,1)+COUNTIFS(Olympiade_3!$B:$B,$B19,Olympiade_3!$F:$F,1)+COUNTIFS(Olympiade_4!$B:$B,$B19,Olympiade_4!$F:$F,1)+COUNTIFS(Olympiade_5!$B:$B,$B19,Olympiade_5!$F:$F,1)+COUNTIFS(Olympiade_6!$B:$B,$B19,Olympiade_6!$F:$F,1)+COUNTIFS(Olympiade_7!$B:$B,$B19,Olympiade_7!$F:$F,1)+COUNTIFS(Olympiade_8!$B:$B,$B19,Olympiade_8!$F:$F,1)</f>
        <v>0</v>
      </c>
      <c r="D19" s="5" t="n">
        <f aca="false">COUNTIFS(Olympiade_1!$B:$B, $B19, Olympiade_1!$F:$F,2)+COUNTIFS(Olympiade_2!$B:$B, $B19, Olympiade_2!$F:$F,2)+COUNTIFS(Olympiade_3!$B:$B, $B19, Olympiade_3!$F:$F,2)+COUNTIFS(Olympiade_4!$B:$B, $B19, Olympiade_4!$F:$F,2)+COUNTIFS(Olympiade_5!$B:$B, $B19, Olympiade_5!$F:$F,2)+COUNTIFS(Olympiade_6!$B:$B, $B19, Olympiade_6!$F:$F,2)+COUNTIFS(Olympiade_7!$B:$B, $B19, Olympiade_7!$F:$F,2)+COUNTIFS(Olympiade_8!$B:$B, $B19, Olympiade_8!$F:$F,2)</f>
        <v>1</v>
      </c>
      <c r="E19" s="5" t="n">
        <f aca="false">COUNTIFS(Olympiade_1!$B:$B, $B19, Olympiade_1!$F:$F,3)+COUNTIFS(Olympiade_2!$B:$B, $B19, Olympiade_2!$F:$F,3)+COUNTIFS(Olympiade_3!$B:$B, $B19, Olympiade_3!$F:$F,3)+COUNTIFS(Olympiade_4!$B:$B, $B19, Olympiade_4!$F:$F,3)+COUNTIFS(Olympiade_5!$B:$B, $B19, Olympiade_5!$F:$F,3)+COUNTIFS(Olympiade_6!$B:$B, $B19, Olympiade_6!$F:$F,3)+COUNTIFS(Olympiade_7!$B:$B, $B19, Olympiade_7!$F:$F,3)+COUNTIFS(Olympiade_8!$B:$B, $B19, Olympiade_8!$F:$F,3)</f>
        <v>0</v>
      </c>
      <c r="F19" s="5" t="n">
        <f aca="false">SUM(C19,D19,E19)</f>
        <v>1</v>
      </c>
      <c r="G19" s="5" t="n">
        <f aca="false">COUNTIFS(Olympiade_1!$B:$B, $B19, Olympiade_1!$G:$G,1)+COUNTIFS(Olympiade_2!$B:$B, $B19, Olympiade_2!$G:$G,1)+COUNTIFS(Olympiade_3!$B:$B, $B19, Olympiade_3!$G:$G,1)+COUNTIFS(Olympiade_4!$B:$B, $B19, Olympiade_4!$G:$G,1)+COUNTIFS(Olympiade_5!$B:$B, $B19, Olympiade_5!$G:$G,1)+COUNTIFS(Olympiade_6!$B:$B, $B19, Olympiade_6!$G:$G,1)+COUNTIFS(Olympiade_7!$B:$B, $B19, Olympiade_7!$G:$G,1)+COUNTIFS(Olympiade_8!$B:$B, $B19, Olympiade_8!$G:$G,1)</f>
        <v>0</v>
      </c>
      <c r="H19" s="5" t="n">
        <f aca="false">COUNTIFS(Olympiade_1!$B:$B, $B19, Olympiade_1!$G:$G,2)+COUNTIFS(Olympiade_2!$B:$B, $B19, Olympiade_2!$G:$G,2)+COUNTIFS(Olympiade_3!$B:$B, $B19, Olympiade_3!$G:$G,2)+COUNTIFS(Olympiade_4!$B:$B, $B19, Olympiade_4!$G:$G,2)+COUNTIFS(Olympiade_5!$B:$B, $B19, Olympiade_5!$G:$G,2)+COUNTIFS(Olympiade_6!$B:$B, $B19, Olympiade_6!$G:$G,2)+COUNTIFS(Olympiade_7!$B:$B, $B19, Olympiade_7!$G:$G,2)+COUNTIFS(Olympiade_8!$B:$B, $B19, Olympiade_8!$G:$G,2)</f>
        <v>0</v>
      </c>
      <c r="I19" s="5" t="n">
        <f aca="false">COUNTIFS(Olympiade_1!$B:$B, $B19, Olympiade_1!$G:$G,3)+COUNTIFS(Olympiade_2!$B:$B, $B19, Olympiade_2!$G:$G,3)+COUNTIFS(Olympiade_3!$B:$B, $B19, Olympiade_3!$G:$G,3)+COUNTIFS(Olympiade_4!$B:$B, $B19, Olympiade_4!$G:$G,3)+COUNTIFS(Olympiade_5!$B:$B, $B19, Olympiade_5!$G:$G,3)+COUNTIFS(Olympiade_6!$B:$B, $B19, Olympiade_6!$G:$G,3)+COUNTIFS(Olympiade_7!$B:$B, $B19, Olympiade_7!$G:$G,3)+COUNTIFS(Olympiade_8!$B:$B, $B19, Olympiade_8!$G:$G,3)</f>
        <v>1</v>
      </c>
      <c r="J19" s="5" t="n">
        <f aca="false">SUM(G19,H19,I19)</f>
        <v>1</v>
      </c>
      <c r="K19" s="5" t="n">
        <f aca="false">COUNTIFS(Olympiade_1!$B:$B, $B19, Olympiade_1!$H:$H,1)+COUNTIFS(Olympiade_2!$B:$B, $B19, Olympiade_2!$H:$H,1)+COUNTIFS(Olympiade_3!$B:$B, $B19, Olympiade_3!$H:$H,1)+COUNTIFS(Olympiade_4!$B:$B, $B19, Olympiade_4!$H:$H,1)+COUNTIFS(Olympiade_5!$B:$B, $B19, Olympiade_5!$H:$H,1)+COUNTIFS(Olympiade_6!$B:$B, $B19, Olympiade_6!$H:$H,1)+COUNTIFS(Olympiade_7!$B:$B, $B19, Olympiade_7!$H:$H,1)+COUNTIFS(Olympiade_8!$B:$B, $B19, Olympiade_8!$H:$H,1)</f>
        <v>0</v>
      </c>
      <c r="L19" s="5" t="n">
        <f aca="false">COUNTIFS(Olympiade_1!$B:$B, $B19, Olympiade_1!$H:$H,2)+COUNTIFS(Olympiade_2!$B:$B, $B19, Olympiade_2!$H:$H,2)+COUNTIFS(Olympiade_3!$B:$B, $B19, Olympiade_3!$H:$H,2)+COUNTIFS(Olympiade_4!$B:$B, $B19, Olympiade_4!$H:$H,2)+COUNTIFS(Olympiade_5!$B:$B, $B19, Olympiade_5!$H:$H,2)+COUNTIFS(Olympiade_6!$B:$B, $B19, Olympiade_6!$H:$H,2)+COUNTIFS(Olympiade_7!$B:$B, $B19, Olympiade_7!$H:$H,2)+COUNTIFS(Olympiade_8!$B:$B, $B19, Olympiade_8!$H:$H,2)</f>
        <v>0</v>
      </c>
      <c r="M19" s="5" t="n">
        <f aca="false">COUNTIFS(Olympiade_1!$B:$B, $B19, Olympiade_1!$H:$H,3)+COUNTIFS(Olympiade_2!$B:$B, $B19, Olympiade_2!$H:$H,3)+COUNTIFS(Olympiade_3!$B:$B, $B19, Olympiade_3!$H:$H,3)+COUNTIFS(Olympiade_4!$B:$B, $B19, Olympiade_4!$H:$H,3)+COUNTIFS(Olympiade_5!$B:$B, $B19, Olympiade_5!$H:$H,3)+COUNTIFS(Olympiade_6!$B:$B, $B19, Olympiade_6!$H:$H,3)+COUNTIFS(Olympiade_7!$B:$B, $B19, Olympiade_7!$H:$H,3)+COUNTIFS(Olympiade_8!$B:$B, $B19, Olympiade_8!$H:$H,3)</f>
        <v>0</v>
      </c>
      <c r="N19" s="5" t="n">
        <f aca="false">SUM(K19,L19,M19)</f>
        <v>0</v>
      </c>
      <c r="O19" s="5" t="n">
        <f aca="false">COUNTIFS(Olympiade_1!$B:$B, $B19, Olympiade_1!$A:$A,1)+COUNTIFS(Olympiade_2!$B:$B, $B19, Olympiade_2!$A:$A,1)+COUNTIFS(Olympiade_3!$B:$B, $B19, Olympiade_3!$A:$A,1)+COUNTIFS(Olympiade_4!$B:$B, $B19, Olympiade_4!$A:$A,1)+COUNTIFS(Olympiade_5!$B:$B, $B19, Olympiade_5!$A:$A,1)+COUNTIFS(Olympiade_6!$B:$B, $B19, Olympiade_6!$A:$A,1)+COUNTIFS(Olympiade_7!$B:$B, $B19, Olympiade_7!$A:$A,1)+COUNTIFS(Olympiade_8!$B:$B, $B19, Olympiade_8!$A:$A,1)</f>
        <v>0</v>
      </c>
      <c r="P19" s="5" t="n">
        <f aca="false">COUNTIFS(Olympiade_1!$B:$B, $B19, Olympiade_1!$A:$A,2)+COUNTIFS(Olympiade_2!$B:$B, $B19, Olympiade_2!$A:$A,2)+COUNTIFS(Olympiade_3!$B:$B, $B19, Olympiade_3!$A:$A,2)+COUNTIFS(Olympiade_4!$B:$B, $B19, Olympiade_4!$A:$A,2)+COUNTIFS(Olympiade_5!$B:$B, $B19, Olympiade_5!$A:$A,2)+COUNTIFS(Olympiade_6!$B:$B, $B19, Olympiade_6!$A:$A,2)+COUNTIFS(Olympiade_7!$B:$B, $B19, Olympiade_7!$A:$A,2)+COUNTIFS(Olympiade_8!$B:$B, $B19, Olympiade_8!$A:$A,2)</f>
        <v>1</v>
      </c>
      <c r="Q19" s="5" t="n">
        <f aca="false">COUNTIFS(Olympiade_1!$B:$B, $B19, Olympiade_1!$A:$A,3)+COUNTIFS(Olympiade_2!$B:$B, $B19, Olympiade_2!$A:$A,3)+COUNTIFS(Olympiade_3!$B:$B, $B19, Olympiade_3!$A:$A,3)+COUNTIFS(Olympiade_4!$B:$B, $B19, Olympiade_4!$A:$A,3)+COUNTIFS(Olympiade_5!$B:$B, $B19, Olympiade_5!$A:$A,3)+COUNTIFS(Olympiade_6!$B:$B, $B19, Olympiade_6!$A:$A,3)+COUNTIFS(Olympiade_7!$B:$B, $B19, Olympiade_7!$A:$A,3)+COUNTIFS(Olympiade_8!$B:$B, $B19, Olympiade_8!$A:$A,3)</f>
        <v>0</v>
      </c>
      <c r="R19" s="5" t="n">
        <f aca="false">SUM(O19,P19,Q19)</f>
        <v>1</v>
      </c>
      <c r="S19" s="5" t="n">
        <f aca="false">SUM(C19,G19,K19,O19)</f>
        <v>0</v>
      </c>
      <c r="T19" s="5" t="n">
        <f aca="false">SUM(D19,H19,L19,P19)</f>
        <v>2</v>
      </c>
      <c r="U19" s="5" t="n">
        <f aca="false">SUM(E19,I19,M19,Q19)</f>
        <v>1</v>
      </c>
      <c r="V19" s="5" t="n">
        <f aca="false">SUM(S19,T19,U19)</f>
        <v>3</v>
      </c>
      <c r="W19" s="5" t="n">
        <f aca="false">SUMIFS(Database!B:B,Database!A:A,B19) + SUMIFS(Database!F:F,Database!A:A,B19)</f>
        <v>70</v>
      </c>
      <c r="X19" s="5" t="e">
        <f aca="false" t="array" ref="X19:X19">AVERAGE(xlookup(B19, Database!K:K, Database!L:N,NA()))</f>
        <v>#N/A</v>
      </c>
    </row>
    <row r="20" customFormat="false" ht="15" hidden="false" customHeight="false" outlineLevel="0" collapsed="false">
      <c r="A20" s="5" t="n">
        <v>15</v>
      </c>
      <c r="B20" s="5" t="s">
        <v>20</v>
      </c>
      <c r="C20" s="5" t="n">
        <f aca="false">COUNTIFS(Olympiade_1!$B:$B,$B20,Olympiade_1!$F:$F,1)+COUNTIFS(Olympiade_2!$B:$B,$B20,Olympiade_2!$F:$F,1)+COUNTIFS(Olympiade_3!$B:$B,$B20,Olympiade_3!$F:$F,1)+COUNTIFS(Olympiade_4!$B:$B,$B20,Olympiade_4!$F:$F,1)+COUNTIFS(Olympiade_5!$B:$B,$B20,Olympiade_5!$F:$F,1)+COUNTIFS(Olympiade_6!$B:$B,$B20,Olympiade_6!$F:$F,1)+COUNTIFS(Olympiade_7!$B:$B,$B20,Olympiade_7!$F:$F,1)+COUNTIFS(Olympiade_8!$B:$B,$B20,Olympiade_8!$F:$F,1)</f>
        <v>0</v>
      </c>
      <c r="D20" s="5" t="n">
        <f aca="false">COUNTIFS(Olympiade_1!$B:$B, $B20, Olympiade_1!$F:$F,2)+COUNTIFS(Olympiade_2!$B:$B, $B20, Olympiade_2!$F:$F,2)+COUNTIFS(Olympiade_3!$B:$B, $B20, Olympiade_3!$F:$F,2)+COUNTIFS(Olympiade_4!$B:$B, $B20, Olympiade_4!$F:$F,2)+COUNTIFS(Olympiade_5!$B:$B, $B20, Olympiade_5!$F:$F,2)+COUNTIFS(Olympiade_6!$B:$B, $B20, Olympiade_6!$F:$F,2)+COUNTIFS(Olympiade_7!$B:$B, $B20, Olympiade_7!$F:$F,2)+COUNTIFS(Olympiade_8!$B:$B, $B20, Olympiade_8!$F:$F,2)</f>
        <v>0</v>
      </c>
      <c r="E20" s="5" t="n">
        <f aca="false">COUNTIFS(Olympiade_1!$B:$B, $B20, Olympiade_1!$F:$F,3)+COUNTIFS(Olympiade_2!$B:$B, $B20, Olympiade_2!$F:$F,3)+COUNTIFS(Olympiade_3!$B:$B, $B20, Olympiade_3!$F:$F,3)+COUNTIFS(Olympiade_4!$B:$B, $B20, Olympiade_4!$F:$F,3)+COUNTIFS(Olympiade_5!$B:$B, $B20, Olympiade_5!$F:$F,3)+COUNTIFS(Olympiade_6!$B:$B, $B20, Olympiade_6!$F:$F,3)+COUNTIFS(Olympiade_7!$B:$B, $B20, Olympiade_7!$F:$F,3)+COUNTIFS(Olympiade_8!$B:$B, $B20, Olympiade_8!$F:$F,3)</f>
        <v>1</v>
      </c>
      <c r="F20" s="5" t="n">
        <f aca="false">SUM(C20,D20,E20)</f>
        <v>1</v>
      </c>
      <c r="G20" s="5" t="n">
        <f aca="false">COUNTIFS(Olympiade_1!$B:$B, $B20, Olympiade_1!$G:$G,1)+COUNTIFS(Olympiade_2!$B:$B, $B20, Olympiade_2!$G:$G,1)+COUNTIFS(Olympiade_3!$B:$B, $B20, Olympiade_3!$G:$G,1)+COUNTIFS(Olympiade_4!$B:$B, $B20, Olympiade_4!$G:$G,1)+COUNTIFS(Olympiade_5!$B:$B, $B20, Olympiade_5!$G:$G,1)+COUNTIFS(Olympiade_6!$B:$B, $B20, Olympiade_6!$G:$G,1)+COUNTIFS(Olympiade_7!$B:$B, $B20, Olympiade_7!$G:$G,1)+COUNTIFS(Olympiade_8!$B:$B, $B20, Olympiade_8!$G:$G,1)</f>
        <v>0</v>
      </c>
      <c r="H20" s="5" t="n">
        <f aca="false">COUNTIFS(Olympiade_1!$B:$B, $B20, Olympiade_1!$G:$G,2)+COUNTIFS(Olympiade_2!$B:$B, $B20, Olympiade_2!$G:$G,2)+COUNTIFS(Olympiade_3!$B:$B, $B20, Olympiade_3!$G:$G,2)+COUNTIFS(Olympiade_4!$B:$B, $B20, Olympiade_4!$G:$G,2)+COUNTIFS(Olympiade_5!$B:$B, $B20, Olympiade_5!$G:$G,2)+COUNTIFS(Olympiade_6!$B:$B, $B20, Olympiade_6!$G:$G,2)+COUNTIFS(Olympiade_7!$B:$B, $B20, Olympiade_7!$G:$G,2)+COUNTIFS(Olympiade_8!$B:$B, $B20, Olympiade_8!$G:$G,2)</f>
        <v>2</v>
      </c>
      <c r="I20" s="5" t="n">
        <f aca="false">COUNTIFS(Olympiade_1!$B:$B, $B20, Olympiade_1!$G:$G,3)+COUNTIFS(Olympiade_2!$B:$B, $B20, Olympiade_2!$G:$G,3)+COUNTIFS(Olympiade_3!$B:$B, $B20, Olympiade_3!$G:$G,3)+COUNTIFS(Olympiade_4!$B:$B, $B20, Olympiade_4!$G:$G,3)+COUNTIFS(Olympiade_5!$B:$B, $B20, Olympiade_5!$G:$G,3)+COUNTIFS(Olympiade_6!$B:$B, $B20, Olympiade_6!$G:$G,3)+COUNTIFS(Olympiade_7!$B:$B, $B20, Olympiade_7!$G:$G,3)+COUNTIFS(Olympiade_8!$B:$B, $B20, Olympiade_8!$G:$G,3)</f>
        <v>1</v>
      </c>
      <c r="J20" s="5" t="n">
        <f aca="false">SUM(G20,H20,I20)</f>
        <v>3</v>
      </c>
      <c r="K20" s="5" t="n">
        <f aca="false">COUNTIFS(Olympiade_1!$B:$B, $B20, Olympiade_1!$H:$H,1)+COUNTIFS(Olympiade_2!$B:$B, $B20, Olympiade_2!$H:$H,1)+COUNTIFS(Olympiade_3!$B:$B, $B20, Olympiade_3!$H:$H,1)+COUNTIFS(Olympiade_4!$B:$B, $B20, Olympiade_4!$H:$H,1)+COUNTIFS(Olympiade_5!$B:$B, $B20, Olympiade_5!$H:$H,1)+COUNTIFS(Olympiade_6!$B:$B, $B20, Olympiade_6!$H:$H,1)+COUNTIFS(Olympiade_7!$B:$B, $B20, Olympiade_7!$H:$H,1)+COUNTIFS(Olympiade_8!$B:$B, $B20, Olympiade_8!$H:$H,1)</f>
        <v>0</v>
      </c>
      <c r="L20" s="5" t="n">
        <f aca="false">COUNTIFS(Olympiade_1!$B:$B, $B20, Olympiade_1!$H:$H,2)+COUNTIFS(Olympiade_2!$B:$B, $B20, Olympiade_2!$H:$H,2)+COUNTIFS(Olympiade_3!$B:$B, $B20, Olympiade_3!$H:$H,2)+COUNTIFS(Olympiade_4!$B:$B, $B20, Olympiade_4!$H:$H,2)+COUNTIFS(Olympiade_5!$B:$B, $B20, Olympiade_5!$H:$H,2)+COUNTIFS(Olympiade_6!$B:$B, $B20, Olympiade_6!$H:$H,2)+COUNTIFS(Olympiade_7!$B:$B, $B20, Olympiade_7!$H:$H,2)+COUNTIFS(Olympiade_8!$B:$B, $B20, Olympiade_8!$H:$H,2)</f>
        <v>1</v>
      </c>
      <c r="M20" s="5" t="n">
        <f aca="false">COUNTIFS(Olympiade_1!$B:$B, $B20, Olympiade_1!$H:$H,3)+COUNTIFS(Olympiade_2!$B:$B, $B20, Olympiade_2!$H:$H,3)+COUNTIFS(Olympiade_3!$B:$B, $B20, Olympiade_3!$H:$H,3)+COUNTIFS(Olympiade_4!$B:$B, $B20, Olympiade_4!$H:$H,3)+COUNTIFS(Olympiade_5!$B:$B, $B20, Olympiade_5!$H:$H,3)+COUNTIFS(Olympiade_6!$B:$B, $B20, Olympiade_6!$H:$H,3)+COUNTIFS(Olympiade_7!$B:$B, $B20, Olympiade_7!$H:$H,3)+COUNTIFS(Olympiade_8!$B:$B, $B20, Olympiade_8!$H:$H,3)</f>
        <v>2</v>
      </c>
      <c r="N20" s="5" t="n">
        <f aca="false">SUM(K20,L20,M20)</f>
        <v>3</v>
      </c>
      <c r="O20" s="5" t="n">
        <f aca="false">COUNTIFS(Olympiade_1!$B:$B, $B20, Olympiade_1!$A:$A,1)+COUNTIFS(Olympiade_2!$B:$B, $B20, Olympiade_2!$A:$A,1)+COUNTIFS(Olympiade_3!$B:$B, $B20, Olympiade_3!$A:$A,1)+COUNTIFS(Olympiade_4!$B:$B, $B20, Olympiade_4!$A:$A,1)+COUNTIFS(Olympiade_5!$B:$B, $B20, Olympiade_5!$A:$A,1)+COUNTIFS(Olympiade_6!$B:$B, $B20, Olympiade_6!$A:$A,1)+COUNTIFS(Olympiade_7!$B:$B, $B20, Olympiade_7!$A:$A,1)+COUNTIFS(Olympiade_8!$B:$B, $B20, Olympiade_8!$A:$A,1)</f>
        <v>0</v>
      </c>
      <c r="P20" s="5" t="n">
        <f aca="false">COUNTIFS(Olympiade_1!$B:$B, $B20, Olympiade_1!$A:$A,2)+COUNTIFS(Olympiade_2!$B:$B, $B20, Olympiade_2!$A:$A,2)+COUNTIFS(Olympiade_3!$B:$B, $B20, Olympiade_3!$A:$A,2)+COUNTIFS(Olympiade_4!$B:$B, $B20, Olympiade_4!$A:$A,2)+COUNTIFS(Olympiade_5!$B:$B, $B20, Olympiade_5!$A:$A,2)+COUNTIFS(Olympiade_6!$B:$B, $B20, Olympiade_6!$A:$A,2)+COUNTIFS(Olympiade_7!$B:$B, $B20, Olympiade_7!$A:$A,2)+COUNTIFS(Olympiade_8!$B:$B, $B20, Olympiade_8!$A:$A,2)</f>
        <v>0</v>
      </c>
      <c r="Q20" s="5" t="n">
        <f aca="false">COUNTIFS(Olympiade_1!$B:$B, $B20, Olympiade_1!$A:$A,3)+COUNTIFS(Olympiade_2!$B:$B, $B20, Olympiade_2!$A:$A,3)+COUNTIFS(Olympiade_3!$B:$B, $B20, Olympiade_3!$A:$A,3)+COUNTIFS(Olympiade_4!$B:$B, $B20, Olympiade_4!$A:$A,3)+COUNTIFS(Olympiade_5!$B:$B, $B20, Olympiade_5!$A:$A,3)+COUNTIFS(Olympiade_6!$B:$B, $B20, Olympiade_6!$A:$A,3)+COUNTIFS(Olympiade_7!$B:$B, $B20, Olympiade_7!$A:$A,3)+COUNTIFS(Olympiade_8!$B:$B, $B20, Olympiade_8!$A:$A,3)</f>
        <v>2</v>
      </c>
      <c r="R20" s="5" t="n">
        <f aca="false">SUM(O20,P20,Q20)</f>
        <v>2</v>
      </c>
      <c r="S20" s="5" t="n">
        <f aca="false">SUM(C20,G20,K20,O20)</f>
        <v>0</v>
      </c>
      <c r="T20" s="5" t="n">
        <f aca="false">SUM(D20,H20,L20,P20)</f>
        <v>3</v>
      </c>
      <c r="U20" s="5" t="n">
        <f aca="false">SUM(E20,I20,M20,Q20)</f>
        <v>6</v>
      </c>
      <c r="V20" s="5" t="n">
        <f aca="false">SUM(S20,T20,U20)</f>
        <v>9</v>
      </c>
      <c r="W20" s="5" t="n">
        <f aca="false">SUMIFS(Database!B:B,Database!A:A,B20) + SUMIFS(Database!F:F,Database!A:A,B20)</f>
        <v>120</v>
      </c>
      <c r="X20" s="5" t="e">
        <f aca="false" t="array" ref="X20:X20">AVERAGE(xlookup(B20, Database!K:K, Database!L:N,NA()))</f>
        <v>#N/A</v>
      </c>
    </row>
    <row r="21" customFormat="false" ht="15.75" hidden="false" customHeight="true" outlineLevel="0" collapsed="false">
      <c r="A21" s="5" t="n">
        <v>22</v>
      </c>
      <c r="B21" s="5" t="s">
        <v>27</v>
      </c>
      <c r="C21" s="5" t="n">
        <f aca="false">COUNTIFS(Olympiade_1!$B:$B,$B21,Olympiade_1!$F:$F,1)+COUNTIFS(Olympiade_2!$B:$B,$B21,Olympiade_2!$F:$F,1)+COUNTIFS(Olympiade_3!$B:$B,$B21,Olympiade_3!$F:$F,1)+COUNTIFS(Olympiade_4!$B:$B,$B21,Olympiade_4!$F:$F,1)+COUNTIFS(Olympiade_5!$B:$B,$B21,Olympiade_5!$F:$F,1)+COUNTIFS(Olympiade_6!$B:$B,$B21,Olympiade_6!$F:$F,1)+COUNTIFS(Olympiade_7!$B:$B,$B21,Olympiade_7!$F:$F,1)+COUNTIFS(Olympiade_8!$B:$B,$B21,Olympiade_8!$F:$F,1)</f>
        <v>1</v>
      </c>
      <c r="D21" s="5" t="n">
        <f aca="false">COUNTIFS(Olympiade_1!$B:$B, $B21, Olympiade_1!$F:$F,2)+COUNTIFS(Olympiade_2!$B:$B, $B21, Olympiade_2!$F:$F,2)+COUNTIFS(Olympiade_3!$B:$B, $B21, Olympiade_3!$F:$F,2)+COUNTIFS(Olympiade_4!$B:$B, $B21, Olympiade_4!$F:$F,2)+COUNTIFS(Olympiade_5!$B:$B, $B21, Olympiade_5!$F:$F,2)+COUNTIFS(Olympiade_6!$B:$B, $B21, Olympiade_6!$F:$F,2)+COUNTIFS(Olympiade_7!$B:$B, $B21, Olympiade_7!$F:$F,2)+COUNTIFS(Olympiade_8!$B:$B, $B21, Olympiade_8!$F:$F,2)</f>
        <v>0</v>
      </c>
      <c r="E21" s="5" t="n">
        <f aca="false">COUNTIFS(Olympiade_1!$B:$B, $B21, Olympiade_1!$F:$F,3)+COUNTIFS(Olympiade_2!$B:$B, $B21, Olympiade_2!$F:$F,3)+COUNTIFS(Olympiade_3!$B:$B, $B21, Olympiade_3!$F:$F,3)+COUNTIFS(Olympiade_4!$B:$B, $B21, Olympiade_4!$F:$F,3)+COUNTIFS(Olympiade_5!$B:$B, $B21, Olympiade_5!$F:$F,3)+COUNTIFS(Olympiade_6!$B:$B, $B21, Olympiade_6!$F:$F,3)+COUNTIFS(Olympiade_7!$B:$B, $B21, Olympiade_7!$F:$F,3)+COUNTIFS(Olympiade_8!$B:$B, $B21, Olympiade_8!$F:$F,3)</f>
        <v>1</v>
      </c>
      <c r="F21" s="5" t="n">
        <f aca="false">SUM(C21,D21,E21)</f>
        <v>2</v>
      </c>
      <c r="G21" s="5" t="n">
        <f aca="false">COUNTIFS(Olympiade_1!$B:$B, $B21, Olympiade_1!$G:$G,1)+COUNTIFS(Olympiade_2!$B:$B, $B21, Olympiade_2!$G:$G,1)+COUNTIFS(Olympiade_3!$B:$B, $B21, Olympiade_3!$G:$G,1)+COUNTIFS(Olympiade_4!$B:$B, $B21, Olympiade_4!$G:$G,1)+COUNTIFS(Olympiade_5!$B:$B, $B21, Olympiade_5!$G:$G,1)+COUNTIFS(Olympiade_6!$B:$B, $B21, Olympiade_6!$G:$G,1)+COUNTIFS(Olympiade_7!$B:$B, $B21, Olympiade_7!$G:$G,1)+COUNTIFS(Olympiade_8!$B:$B, $B21, Olympiade_8!$G:$G,1)</f>
        <v>0</v>
      </c>
      <c r="H21" s="5" t="n">
        <f aca="false">COUNTIFS(Olympiade_1!$B:$B, $B21, Olympiade_1!$G:$G,2)+COUNTIFS(Olympiade_2!$B:$B, $B21, Olympiade_2!$G:$G,2)+COUNTIFS(Olympiade_3!$B:$B, $B21, Olympiade_3!$G:$G,2)+COUNTIFS(Olympiade_4!$B:$B, $B21, Olympiade_4!$G:$G,2)+COUNTIFS(Olympiade_5!$B:$B, $B21, Olympiade_5!$G:$G,2)+COUNTIFS(Olympiade_6!$B:$B, $B21, Olympiade_6!$G:$G,2)+COUNTIFS(Olympiade_7!$B:$B, $B21, Olympiade_7!$G:$G,2)+COUNTIFS(Olympiade_8!$B:$B, $B21, Olympiade_8!$G:$G,2)</f>
        <v>1</v>
      </c>
      <c r="I21" s="5" t="n">
        <f aca="false">COUNTIFS(Olympiade_1!$B:$B, $B21, Olympiade_1!$G:$G,3)+COUNTIFS(Olympiade_2!$B:$B, $B21, Olympiade_2!$G:$G,3)+COUNTIFS(Olympiade_3!$B:$B, $B21, Olympiade_3!$G:$G,3)+COUNTIFS(Olympiade_4!$B:$B, $B21, Olympiade_4!$G:$G,3)+COUNTIFS(Olympiade_5!$B:$B, $B21, Olympiade_5!$G:$G,3)+COUNTIFS(Olympiade_6!$B:$B, $B21, Olympiade_6!$G:$G,3)+COUNTIFS(Olympiade_7!$B:$B, $B21, Olympiade_7!$G:$G,3)+COUNTIFS(Olympiade_8!$B:$B, $B21, Olympiade_8!$G:$G,3)</f>
        <v>0</v>
      </c>
      <c r="J21" s="5" t="n">
        <f aca="false">SUM(G21,H21,I21)</f>
        <v>1</v>
      </c>
      <c r="K21" s="5" t="n">
        <f aca="false">COUNTIFS(Olympiade_1!$B:$B, $B21, Olympiade_1!$H:$H,1)+COUNTIFS(Olympiade_2!$B:$B, $B21, Olympiade_2!$H:$H,1)+COUNTIFS(Olympiade_3!$B:$B, $B21, Olympiade_3!$H:$H,1)+COUNTIFS(Olympiade_4!$B:$B, $B21, Olympiade_4!$H:$H,1)+COUNTIFS(Olympiade_5!$B:$B, $B21, Olympiade_5!$H:$H,1)+COUNTIFS(Olympiade_6!$B:$B, $B21, Olympiade_6!$H:$H,1)+COUNTIFS(Olympiade_7!$B:$B, $B21, Olympiade_7!$H:$H,1)+COUNTIFS(Olympiade_8!$B:$B, $B21, Olympiade_8!$H:$H,1)</f>
        <v>0</v>
      </c>
      <c r="L21" s="5" t="n">
        <f aca="false">COUNTIFS(Olympiade_1!$B:$B, $B21, Olympiade_1!$H:$H,2)+COUNTIFS(Olympiade_2!$B:$B, $B21, Olympiade_2!$H:$H,2)+COUNTIFS(Olympiade_3!$B:$B, $B21, Olympiade_3!$H:$H,2)+COUNTIFS(Olympiade_4!$B:$B, $B21, Olympiade_4!$H:$H,2)+COUNTIFS(Olympiade_5!$B:$B, $B21, Olympiade_5!$H:$H,2)+COUNTIFS(Olympiade_6!$B:$B, $B21, Olympiade_6!$H:$H,2)+COUNTIFS(Olympiade_7!$B:$B, $B21, Olympiade_7!$H:$H,2)+COUNTIFS(Olympiade_8!$B:$B, $B21, Olympiade_8!$H:$H,2)</f>
        <v>0</v>
      </c>
      <c r="M21" s="5" t="n">
        <f aca="false">COUNTIFS(Olympiade_1!$B:$B, $B21, Olympiade_1!$H:$H,3)+COUNTIFS(Olympiade_2!$B:$B, $B21, Olympiade_2!$H:$H,3)+COUNTIFS(Olympiade_3!$B:$B, $B21, Olympiade_3!$H:$H,3)+COUNTIFS(Olympiade_4!$B:$B, $B21, Olympiade_4!$H:$H,3)+COUNTIFS(Olympiade_5!$B:$B, $B21, Olympiade_5!$H:$H,3)+COUNTIFS(Olympiade_6!$B:$B, $B21, Olympiade_6!$H:$H,3)+COUNTIFS(Olympiade_7!$B:$B, $B21, Olympiade_7!$H:$H,3)+COUNTIFS(Olympiade_8!$B:$B, $B21, Olympiade_8!$H:$H,3)</f>
        <v>1</v>
      </c>
      <c r="N21" s="5" t="n">
        <f aca="false">SUM(K21,L21,M21)</f>
        <v>1</v>
      </c>
      <c r="O21" s="5" t="n">
        <f aca="false">COUNTIFS(Olympiade_1!$B:$B, $B21, Olympiade_1!$A:$A,1)+COUNTIFS(Olympiade_2!$B:$B, $B21, Olympiade_2!$A:$A,1)+COUNTIFS(Olympiade_3!$B:$B, $B21, Olympiade_3!$A:$A,1)+COUNTIFS(Olympiade_4!$B:$B, $B21, Olympiade_4!$A:$A,1)+COUNTIFS(Olympiade_5!$B:$B, $B21, Olympiade_5!$A:$A,1)+COUNTIFS(Olympiade_6!$B:$B, $B21, Olympiade_6!$A:$A,1)+COUNTIFS(Olympiade_7!$B:$B, $B21, Olympiade_7!$A:$A,1)+COUNTIFS(Olympiade_8!$B:$B, $B21, Olympiade_8!$A:$A,1)</f>
        <v>0</v>
      </c>
      <c r="P21" s="5" t="n">
        <f aca="false">COUNTIFS(Olympiade_1!$B:$B, $B21, Olympiade_1!$A:$A,2)+COUNTIFS(Olympiade_2!$B:$B, $B21, Olympiade_2!$A:$A,2)+COUNTIFS(Olympiade_3!$B:$B, $B21, Olympiade_3!$A:$A,2)+COUNTIFS(Olympiade_4!$B:$B, $B21, Olympiade_4!$A:$A,2)+COUNTIFS(Olympiade_5!$B:$B, $B21, Olympiade_5!$A:$A,2)+COUNTIFS(Olympiade_6!$B:$B, $B21, Olympiade_6!$A:$A,2)+COUNTIFS(Olympiade_7!$B:$B, $B21, Olympiade_7!$A:$A,2)+COUNTIFS(Olympiade_8!$B:$B, $B21, Olympiade_8!$A:$A,2)</f>
        <v>0</v>
      </c>
      <c r="Q21" s="5" t="n">
        <f aca="false">COUNTIFS(Olympiade_1!$B:$B, $B21, Olympiade_1!$A:$A,3)+COUNTIFS(Olympiade_2!$B:$B, $B21, Olympiade_2!$A:$A,3)+COUNTIFS(Olympiade_3!$B:$B, $B21, Olympiade_3!$A:$A,3)+COUNTIFS(Olympiade_4!$B:$B, $B21, Olympiade_4!$A:$A,3)+COUNTIFS(Olympiade_5!$B:$B, $B21, Olympiade_5!$A:$A,3)+COUNTIFS(Olympiade_6!$B:$B, $B21, Olympiade_6!$A:$A,3)+COUNTIFS(Olympiade_7!$B:$B, $B21, Olympiade_7!$A:$A,3)+COUNTIFS(Olympiade_8!$B:$B, $B21, Olympiade_8!$A:$A,3)</f>
        <v>1</v>
      </c>
      <c r="R21" s="5" t="n">
        <f aca="false">SUM(O21,P21,Q21)</f>
        <v>1</v>
      </c>
      <c r="S21" s="5" t="n">
        <f aca="false">SUM(C21,G21,K21,O21)</f>
        <v>1</v>
      </c>
      <c r="T21" s="5" t="n">
        <f aca="false">SUM(D21,H21,L21,P21)</f>
        <v>1</v>
      </c>
      <c r="U21" s="5" t="n">
        <f aca="false">SUM(E21,I21,M21,Q21)</f>
        <v>3</v>
      </c>
      <c r="V21" s="5" t="n">
        <f aca="false">SUM(S21,T21,U21)</f>
        <v>5</v>
      </c>
      <c r="W21" s="5" t="n">
        <f aca="false">SUMIFS(Database!B:B,Database!A:A,B21) + SUMIFS(Database!F:F,Database!A:A,B21)</f>
        <v>80</v>
      </c>
      <c r="X21" s="5" t="e">
        <f aca="false" t="array" ref="X21:X21">AVERAGE(xlookup(B21, Database!K:K, Database!L:N,NA()))</f>
        <v>#N/A</v>
      </c>
    </row>
    <row r="22" customFormat="false" ht="15.75" hidden="false" customHeight="true" outlineLevel="0" collapsed="false">
      <c r="A22" s="5" t="n">
        <v>14</v>
      </c>
      <c r="B22" s="5" t="s">
        <v>19</v>
      </c>
      <c r="C22" s="5" t="n">
        <f aca="false">COUNTIFS(Olympiade_1!$B:$B,$B22,Olympiade_1!$F:$F,1)+COUNTIFS(Olympiade_2!$B:$B,$B22,Olympiade_2!$F:$F,1)+COUNTIFS(Olympiade_3!$B:$B,$B22,Olympiade_3!$F:$F,1)+COUNTIFS(Olympiade_4!$B:$B,$B22,Olympiade_4!$F:$F,1)+COUNTIFS(Olympiade_5!$B:$B,$B22,Olympiade_5!$F:$F,1)+COUNTIFS(Olympiade_6!$B:$B,$B22,Olympiade_6!$F:$F,1)+COUNTIFS(Olympiade_7!$B:$B,$B22,Olympiade_7!$F:$F,1)+COUNTIFS(Olympiade_8!$B:$B,$B22,Olympiade_8!$F:$F,1)</f>
        <v>0</v>
      </c>
      <c r="D22" s="5" t="n">
        <f aca="false">COUNTIFS(Olympiade_1!$B:$B, $B22, Olympiade_1!$F:$F,2)+COUNTIFS(Olympiade_2!$B:$B, $B22, Olympiade_2!$F:$F,2)+COUNTIFS(Olympiade_3!$B:$B, $B22, Olympiade_3!$F:$F,2)+COUNTIFS(Olympiade_4!$B:$B, $B22, Olympiade_4!$F:$F,2)+COUNTIFS(Olympiade_5!$B:$B, $B22, Olympiade_5!$F:$F,2)+COUNTIFS(Olympiade_6!$B:$B, $B22, Olympiade_6!$F:$F,2)+COUNTIFS(Olympiade_7!$B:$B, $B22, Olympiade_7!$F:$F,2)+COUNTIFS(Olympiade_8!$B:$B, $B22, Olympiade_8!$F:$F,2)</f>
        <v>1</v>
      </c>
      <c r="E22" s="5" t="n">
        <f aca="false">COUNTIFS(Olympiade_1!$B:$B, $B22, Olympiade_1!$F:$F,3)+COUNTIFS(Olympiade_2!$B:$B, $B22, Olympiade_2!$F:$F,3)+COUNTIFS(Olympiade_3!$B:$B, $B22, Olympiade_3!$F:$F,3)+COUNTIFS(Olympiade_4!$B:$B, $B22, Olympiade_4!$F:$F,3)+COUNTIFS(Olympiade_5!$B:$B, $B22, Olympiade_5!$F:$F,3)+COUNTIFS(Olympiade_6!$B:$B, $B22, Olympiade_6!$F:$F,3)+COUNTIFS(Olympiade_7!$B:$B, $B22, Olympiade_7!$F:$F,3)+COUNTIFS(Olympiade_8!$B:$B, $B22, Olympiade_8!$F:$F,3)</f>
        <v>0</v>
      </c>
      <c r="F22" s="5" t="n">
        <f aca="false">SUM(C22,D22,E22)</f>
        <v>1</v>
      </c>
      <c r="G22" s="5" t="n">
        <f aca="false">COUNTIFS(Olympiade_1!$B:$B, $B22, Olympiade_1!$G:$G,1)+COUNTIFS(Olympiade_2!$B:$B, $B22, Olympiade_2!$G:$G,1)+COUNTIFS(Olympiade_3!$B:$B, $B22, Olympiade_3!$G:$G,1)+COUNTIFS(Olympiade_4!$B:$B, $B22, Olympiade_4!$G:$G,1)+COUNTIFS(Olympiade_5!$B:$B, $B22, Olympiade_5!$G:$G,1)+COUNTIFS(Olympiade_6!$B:$B, $B22, Olympiade_6!$G:$G,1)+COUNTIFS(Olympiade_7!$B:$B, $B22, Olympiade_7!$G:$G,1)+COUNTIFS(Olympiade_8!$B:$B, $B22, Olympiade_8!$G:$G,1)</f>
        <v>0</v>
      </c>
      <c r="H22" s="5" t="n">
        <f aca="false">COUNTIFS(Olympiade_1!$B:$B, $B22, Olympiade_1!$G:$G,2)+COUNTIFS(Olympiade_2!$B:$B, $B22, Olympiade_2!$G:$G,2)+COUNTIFS(Olympiade_3!$B:$B, $B22, Olympiade_3!$G:$G,2)+COUNTIFS(Olympiade_4!$B:$B, $B22, Olympiade_4!$G:$G,2)+COUNTIFS(Olympiade_5!$B:$B, $B22, Olympiade_5!$G:$G,2)+COUNTIFS(Olympiade_6!$B:$B, $B22, Olympiade_6!$G:$G,2)+COUNTIFS(Olympiade_7!$B:$B, $B22, Olympiade_7!$G:$G,2)+COUNTIFS(Olympiade_8!$B:$B, $B22, Olympiade_8!$G:$G,2)</f>
        <v>0</v>
      </c>
      <c r="I22" s="5" t="n">
        <f aca="false">COUNTIFS(Olympiade_1!$B:$B, $B22, Olympiade_1!$G:$G,3)+COUNTIFS(Olympiade_2!$B:$B, $B22, Olympiade_2!$G:$G,3)+COUNTIFS(Olympiade_3!$B:$B, $B22, Olympiade_3!$G:$G,3)+COUNTIFS(Olympiade_4!$B:$B, $B22, Olympiade_4!$G:$G,3)+COUNTIFS(Olympiade_5!$B:$B, $B22, Olympiade_5!$G:$G,3)+COUNTIFS(Olympiade_6!$B:$B, $B22, Olympiade_6!$G:$G,3)+COUNTIFS(Olympiade_7!$B:$B, $B22, Olympiade_7!$G:$G,3)+COUNTIFS(Olympiade_8!$B:$B, $B22, Olympiade_8!$G:$G,3)</f>
        <v>1</v>
      </c>
      <c r="J22" s="5" t="n">
        <f aca="false">SUM(G22,H22,I22)</f>
        <v>1</v>
      </c>
      <c r="K22" s="5" t="n">
        <f aca="false">COUNTIFS(Olympiade_1!$B:$B, $B22, Olympiade_1!$H:$H,1)+COUNTIFS(Olympiade_2!$B:$B, $B22, Olympiade_2!$H:$H,1)+COUNTIFS(Olympiade_3!$B:$B, $B22, Olympiade_3!$H:$H,1)+COUNTIFS(Olympiade_4!$B:$B, $B22, Olympiade_4!$H:$H,1)+COUNTIFS(Olympiade_5!$B:$B, $B22, Olympiade_5!$H:$H,1)+COUNTIFS(Olympiade_6!$B:$B, $B22, Olympiade_6!$H:$H,1)+COUNTIFS(Olympiade_7!$B:$B, $B22, Olympiade_7!$H:$H,1)+COUNTIFS(Olympiade_8!$B:$B, $B22, Olympiade_8!$H:$H,1)</f>
        <v>0</v>
      </c>
      <c r="L22" s="5" t="n">
        <f aca="false">COUNTIFS(Olympiade_1!$B:$B, $B22, Olympiade_1!$H:$H,2)+COUNTIFS(Olympiade_2!$B:$B, $B22, Olympiade_2!$H:$H,2)+COUNTIFS(Olympiade_3!$B:$B, $B22, Olympiade_3!$H:$H,2)+COUNTIFS(Olympiade_4!$B:$B, $B22, Olympiade_4!$H:$H,2)+COUNTIFS(Olympiade_5!$B:$B, $B22, Olympiade_5!$H:$H,2)+COUNTIFS(Olympiade_6!$B:$B, $B22, Olympiade_6!$H:$H,2)+COUNTIFS(Olympiade_7!$B:$B, $B22, Olympiade_7!$H:$H,2)+COUNTIFS(Olympiade_8!$B:$B, $B22, Olympiade_8!$H:$H,2)</f>
        <v>1</v>
      </c>
      <c r="M22" s="5" t="n">
        <f aca="false">COUNTIFS(Olympiade_1!$B:$B, $B22, Olympiade_1!$H:$H,3)+COUNTIFS(Olympiade_2!$B:$B, $B22, Olympiade_2!$H:$H,3)+COUNTIFS(Olympiade_3!$B:$B, $B22, Olympiade_3!$H:$H,3)+COUNTIFS(Olympiade_4!$B:$B, $B22, Olympiade_4!$H:$H,3)+COUNTIFS(Olympiade_5!$B:$B, $B22, Olympiade_5!$H:$H,3)+COUNTIFS(Olympiade_6!$B:$B, $B22, Olympiade_6!$H:$H,3)+COUNTIFS(Olympiade_7!$B:$B, $B22, Olympiade_7!$H:$H,3)+COUNTIFS(Olympiade_8!$B:$B, $B22, Olympiade_8!$H:$H,3)</f>
        <v>2</v>
      </c>
      <c r="N22" s="5" t="n">
        <f aca="false">SUM(K22,L22,M22)</f>
        <v>3</v>
      </c>
      <c r="O22" s="5" t="n">
        <f aca="false">COUNTIFS(Olympiade_1!$B:$B, $B22, Olympiade_1!$A:$A,1)+COUNTIFS(Olympiade_2!$B:$B, $B22, Olympiade_2!$A:$A,1)+COUNTIFS(Olympiade_3!$B:$B, $B22, Olympiade_3!$A:$A,1)+COUNTIFS(Olympiade_4!$B:$B, $B22, Olympiade_4!$A:$A,1)+COUNTIFS(Olympiade_5!$B:$B, $B22, Olympiade_5!$A:$A,1)+COUNTIFS(Olympiade_6!$B:$B, $B22, Olympiade_6!$A:$A,1)+COUNTIFS(Olympiade_7!$B:$B, $B22, Olympiade_7!$A:$A,1)+COUNTIFS(Olympiade_8!$B:$B, $B22, Olympiade_8!$A:$A,1)</f>
        <v>0</v>
      </c>
      <c r="P22" s="5" t="n">
        <f aca="false">COUNTIFS(Olympiade_1!$B:$B, $B22, Olympiade_1!$A:$A,2)+COUNTIFS(Olympiade_2!$B:$B, $B22, Olympiade_2!$A:$A,2)+COUNTIFS(Olympiade_3!$B:$B, $B22, Olympiade_3!$A:$A,2)+COUNTIFS(Olympiade_4!$B:$B, $B22, Olympiade_4!$A:$A,2)+COUNTIFS(Olympiade_5!$B:$B, $B22, Olympiade_5!$A:$A,2)+COUNTIFS(Olympiade_6!$B:$B, $B22, Olympiade_6!$A:$A,2)+COUNTIFS(Olympiade_7!$B:$B, $B22, Olympiade_7!$A:$A,2)+COUNTIFS(Olympiade_8!$B:$B, $B22, Olympiade_8!$A:$A,2)</f>
        <v>0</v>
      </c>
      <c r="Q22" s="5" t="n">
        <f aca="false">COUNTIFS(Olympiade_1!$B:$B, $B22, Olympiade_1!$A:$A,3)+COUNTIFS(Olympiade_2!$B:$B, $B22, Olympiade_2!$A:$A,3)+COUNTIFS(Olympiade_3!$B:$B, $B22, Olympiade_3!$A:$A,3)+COUNTIFS(Olympiade_4!$B:$B, $B22, Olympiade_4!$A:$A,3)+COUNTIFS(Olympiade_5!$B:$B, $B22, Olympiade_5!$A:$A,3)+COUNTIFS(Olympiade_6!$B:$B, $B22, Olympiade_6!$A:$A,3)+COUNTIFS(Olympiade_7!$B:$B, $B22, Olympiade_7!$A:$A,3)+COUNTIFS(Olympiade_8!$B:$B, $B22, Olympiade_8!$A:$A,3)</f>
        <v>1</v>
      </c>
      <c r="R22" s="5" t="n">
        <f aca="false">SUM(O22,P22,Q22)</f>
        <v>1</v>
      </c>
      <c r="S22" s="5" t="n">
        <f aca="false">SUM(C22,G22,K22,O22)</f>
        <v>0</v>
      </c>
      <c r="T22" s="5" t="n">
        <f aca="false">SUM(D22,H22,L22,P22)</f>
        <v>2</v>
      </c>
      <c r="U22" s="5" t="n">
        <f aca="false">SUM(E22,I22,M22,Q22)</f>
        <v>4</v>
      </c>
      <c r="V22" s="5" t="n">
        <f aca="false">SUM(S22,T22,U22)</f>
        <v>6</v>
      </c>
      <c r="W22" s="5" t="n">
        <f aca="false">SUMIFS(Database!B:B,Database!A:A,B22) + SUMIFS(Database!F:F,Database!A:A,B22)</f>
        <v>140</v>
      </c>
      <c r="X22" s="5" t="e">
        <f aca="false" t="array" ref="X22:X22">AVERAGE(xlookup(B22, Database!K:K, Database!L:N,NA()))</f>
        <v>#N/A</v>
      </c>
    </row>
    <row r="23" customFormat="false" ht="15.75" hidden="false" customHeight="true" outlineLevel="0" collapsed="false">
      <c r="A23" s="5" t="n">
        <v>26</v>
      </c>
      <c r="B23" s="5" t="s">
        <v>31</v>
      </c>
      <c r="C23" s="5" t="n">
        <f aca="false">COUNTIFS(Olympiade_1!$B:$B,$B23,Olympiade_1!$F:$F,1)+COUNTIFS(Olympiade_2!$B:$B,$B23,Olympiade_2!$F:$F,1)+COUNTIFS(Olympiade_3!$B:$B,$B23,Olympiade_3!$F:$F,1)+COUNTIFS(Olympiade_4!$B:$B,$B23,Olympiade_4!$F:$F,1)+COUNTIFS(Olympiade_5!$B:$B,$B23,Olympiade_5!$F:$F,1)+COUNTIFS(Olympiade_6!$B:$B,$B23,Olympiade_6!$F:$F,1)+COUNTIFS(Olympiade_7!$B:$B,$B23,Olympiade_7!$F:$F,1)+COUNTIFS(Olympiade_8!$B:$B,$B23,Olympiade_8!$F:$F,1)</f>
        <v>0</v>
      </c>
      <c r="D23" s="5" t="n">
        <f aca="false">COUNTIFS(Olympiade_1!$B:$B, $B23, Olympiade_1!$F:$F,2)+COUNTIFS(Olympiade_2!$B:$B, $B23, Olympiade_2!$F:$F,2)+COUNTIFS(Olympiade_3!$B:$B, $B23, Olympiade_3!$F:$F,2)+COUNTIFS(Olympiade_4!$B:$B, $B23, Olympiade_4!$F:$F,2)+COUNTIFS(Olympiade_5!$B:$B, $B23, Olympiade_5!$F:$F,2)+COUNTIFS(Olympiade_6!$B:$B, $B23, Olympiade_6!$F:$F,2)+COUNTIFS(Olympiade_7!$B:$B, $B23, Olympiade_7!$F:$F,2)+COUNTIFS(Olympiade_8!$B:$B, $B23, Olympiade_8!$F:$F,2)</f>
        <v>0</v>
      </c>
      <c r="E23" s="5" t="n">
        <f aca="false">COUNTIFS(Olympiade_1!$B:$B, $B23, Olympiade_1!$F:$F,3)+COUNTIFS(Olympiade_2!$B:$B, $B23, Olympiade_2!$F:$F,3)+COUNTIFS(Olympiade_3!$B:$B, $B23, Olympiade_3!$F:$F,3)+COUNTIFS(Olympiade_4!$B:$B, $B23, Olympiade_4!$F:$F,3)+COUNTIFS(Olympiade_5!$B:$B, $B23, Olympiade_5!$F:$F,3)+COUNTIFS(Olympiade_6!$B:$B, $B23, Olympiade_6!$F:$F,3)+COUNTIFS(Olympiade_7!$B:$B, $B23, Olympiade_7!$F:$F,3)+COUNTIFS(Olympiade_8!$B:$B, $B23, Olympiade_8!$F:$F,3)</f>
        <v>2</v>
      </c>
      <c r="F23" s="5" t="n">
        <f aca="false">SUM(C23,D23,E23)</f>
        <v>2</v>
      </c>
      <c r="G23" s="5" t="n">
        <f aca="false">COUNTIFS(Olympiade_1!$B:$B, $B23, Olympiade_1!$G:$G,1)+COUNTIFS(Olympiade_2!$B:$B, $B23, Olympiade_2!$G:$G,1)+COUNTIFS(Olympiade_3!$B:$B, $B23, Olympiade_3!$G:$G,1)+COUNTIFS(Olympiade_4!$B:$B, $B23, Olympiade_4!$G:$G,1)+COUNTIFS(Olympiade_5!$B:$B, $B23, Olympiade_5!$G:$G,1)+COUNTIFS(Olympiade_6!$B:$B, $B23, Olympiade_6!$G:$G,1)+COUNTIFS(Olympiade_7!$B:$B, $B23, Olympiade_7!$G:$G,1)+COUNTIFS(Olympiade_8!$B:$B, $B23, Olympiade_8!$G:$G,1)</f>
        <v>0</v>
      </c>
      <c r="H23" s="5" t="n">
        <f aca="false">COUNTIFS(Olympiade_1!$B:$B, $B23, Olympiade_1!$G:$G,2)+COUNTIFS(Olympiade_2!$B:$B, $B23, Olympiade_2!$G:$G,2)+COUNTIFS(Olympiade_3!$B:$B, $B23, Olympiade_3!$G:$G,2)+COUNTIFS(Olympiade_4!$B:$B, $B23, Olympiade_4!$G:$G,2)+COUNTIFS(Olympiade_5!$B:$B, $B23, Olympiade_5!$G:$G,2)+COUNTIFS(Olympiade_6!$B:$B, $B23, Olympiade_6!$G:$G,2)+COUNTIFS(Olympiade_7!$B:$B, $B23, Olympiade_7!$G:$G,2)+COUNTIFS(Olympiade_8!$B:$B, $B23, Olympiade_8!$G:$G,2)</f>
        <v>0</v>
      </c>
      <c r="I23" s="5" t="n">
        <f aca="false">COUNTIFS(Olympiade_1!$B:$B, $B23, Olympiade_1!$G:$G,3)+COUNTIFS(Olympiade_2!$B:$B, $B23, Olympiade_2!$G:$G,3)+COUNTIFS(Olympiade_3!$B:$B, $B23, Olympiade_3!$G:$G,3)+COUNTIFS(Olympiade_4!$B:$B, $B23, Olympiade_4!$G:$G,3)+COUNTIFS(Olympiade_5!$B:$B, $B23, Olympiade_5!$G:$G,3)+COUNTIFS(Olympiade_6!$B:$B, $B23, Olympiade_6!$G:$G,3)+COUNTIFS(Olympiade_7!$B:$B, $B23, Olympiade_7!$G:$G,3)+COUNTIFS(Olympiade_8!$B:$B, $B23, Olympiade_8!$G:$G,3)</f>
        <v>1</v>
      </c>
      <c r="J23" s="5" t="n">
        <f aca="false">SUM(G23,H23,I23)</f>
        <v>1</v>
      </c>
      <c r="K23" s="5" t="n">
        <f aca="false">COUNTIFS(Olympiade_1!$B:$B, $B23, Olympiade_1!$H:$H,1)+COUNTIFS(Olympiade_2!$B:$B, $B23, Olympiade_2!$H:$H,1)+COUNTIFS(Olympiade_3!$B:$B, $B23, Olympiade_3!$H:$H,1)+COUNTIFS(Olympiade_4!$B:$B, $B23, Olympiade_4!$H:$H,1)+COUNTIFS(Olympiade_5!$B:$B, $B23, Olympiade_5!$H:$H,1)+COUNTIFS(Olympiade_6!$B:$B, $B23, Olympiade_6!$H:$H,1)+COUNTIFS(Olympiade_7!$B:$B, $B23, Olympiade_7!$H:$H,1)+COUNTIFS(Olympiade_8!$B:$B, $B23, Olympiade_8!$H:$H,1)</f>
        <v>0</v>
      </c>
      <c r="L23" s="5" t="n">
        <f aca="false">COUNTIFS(Olympiade_1!$B:$B, $B23, Olympiade_1!$H:$H,2)+COUNTIFS(Olympiade_2!$B:$B, $B23, Olympiade_2!$H:$H,2)+COUNTIFS(Olympiade_3!$B:$B, $B23, Olympiade_3!$H:$H,2)+COUNTIFS(Olympiade_4!$B:$B, $B23, Olympiade_4!$H:$H,2)+COUNTIFS(Olympiade_5!$B:$B, $B23, Olympiade_5!$H:$H,2)+COUNTIFS(Olympiade_6!$B:$B, $B23, Olympiade_6!$H:$H,2)+COUNTIFS(Olympiade_7!$B:$B, $B23, Olympiade_7!$H:$H,2)+COUNTIFS(Olympiade_8!$B:$B, $B23, Olympiade_8!$H:$H,2)</f>
        <v>1</v>
      </c>
      <c r="M23" s="5" t="n">
        <f aca="false">COUNTIFS(Olympiade_1!$B:$B, $B23, Olympiade_1!$H:$H,3)+COUNTIFS(Olympiade_2!$B:$B, $B23, Olympiade_2!$H:$H,3)+COUNTIFS(Olympiade_3!$B:$B, $B23, Olympiade_3!$H:$H,3)+COUNTIFS(Olympiade_4!$B:$B, $B23, Olympiade_4!$H:$H,3)+COUNTIFS(Olympiade_5!$B:$B, $B23, Olympiade_5!$H:$H,3)+COUNTIFS(Olympiade_6!$B:$B, $B23, Olympiade_6!$H:$H,3)+COUNTIFS(Olympiade_7!$B:$B, $B23, Olympiade_7!$H:$H,3)+COUNTIFS(Olympiade_8!$B:$B, $B23, Olympiade_8!$H:$H,3)</f>
        <v>1</v>
      </c>
      <c r="N23" s="5" t="n">
        <f aca="false">SUM(K23,L23,M23)</f>
        <v>2</v>
      </c>
      <c r="O23" s="5" t="n">
        <f aca="false">COUNTIFS(Olympiade_1!$B:$B, $B23, Olympiade_1!$A:$A,1)+COUNTIFS(Olympiade_2!$B:$B, $B23, Olympiade_2!$A:$A,1)+COUNTIFS(Olympiade_3!$B:$B, $B23, Olympiade_3!$A:$A,1)+COUNTIFS(Olympiade_4!$B:$B, $B23, Olympiade_4!$A:$A,1)+COUNTIFS(Olympiade_5!$B:$B, $B23, Olympiade_5!$A:$A,1)+COUNTIFS(Olympiade_6!$B:$B, $B23, Olympiade_6!$A:$A,1)+COUNTIFS(Olympiade_7!$B:$B, $B23, Olympiade_7!$A:$A,1)+COUNTIFS(Olympiade_8!$B:$B, $B23, Olympiade_8!$A:$A,1)</f>
        <v>0</v>
      </c>
      <c r="P23" s="5" t="n">
        <f aca="false">COUNTIFS(Olympiade_1!$B:$B, $B23, Olympiade_1!$A:$A,2)+COUNTIFS(Olympiade_2!$B:$B, $B23, Olympiade_2!$A:$A,2)+COUNTIFS(Olympiade_3!$B:$B, $B23, Olympiade_3!$A:$A,2)+COUNTIFS(Olympiade_4!$B:$B, $B23, Olympiade_4!$A:$A,2)+COUNTIFS(Olympiade_5!$B:$B, $B23, Olympiade_5!$A:$A,2)+COUNTIFS(Olympiade_6!$B:$B, $B23, Olympiade_6!$A:$A,2)+COUNTIFS(Olympiade_7!$B:$B, $B23, Olympiade_7!$A:$A,2)+COUNTIFS(Olympiade_8!$B:$B, $B23, Olympiade_8!$A:$A,2)</f>
        <v>0</v>
      </c>
      <c r="Q23" s="5" t="n">
        <f aca="false">COUNTIFS(Olympiade_1!$B:$B, $B23, Olympiade_1!$A:$A,3)+COUNTIFS(Olympiade_2!$B:$B, $B23, Olympiade_2!$A:$A,3)+COUNTIFS(Olympiade_3!$B:$B, $B23, Olympiade_3!$A:$A,3)+COUNTIFS(Olympiade_4!$B:$B, $B23, Olympiade_4!$A:$A,3)+COUNTIFS(Olympiade_5!$B:$B, $B23, Olympiade_5!$A:$A,3)+COUNTIFS(Olympiade_6!$B:$B, $B23, Olympiade_6!$A:$A,3)+COUNTIFS(Olympiade_7!$B:$B, $B23, Olympiade_7!$A:$A,3)+COUNTIFS(Olympiade_8!$B:$B, $B23, Olympiade_8!$A:$A,3)</f>
        <v>1</v>
      </c>
      <c r="R23" s="5" t="n">
        <f aca="false">SUM(O23,P23,Q23)</f>
        <v>1</v>
      </c>
      <c r="S23" s="5" t="n">
        <f aca="false">SUM(C23,G23,K23,O23)</f>
        <v>0</v>
      </c>
      <c r="T23" s="5" t="n">
        <f aca="false">SUM(D23,H23,L23,P23)</f>
        <v>1</v>
      </c>
      <c r="U23" s="5" t="n">
        <f aca="false">SUM(E23,I23,M23,Q23)</f>
        <v>5</v>
      </c>
      <c r="V23" s="5" t="n">
        <f aca="false">SUM(S23,T23,U23)</f>
        <v>6</v>
      </c>
      <c r="W23" s="5" t="n">
        <f aca="false">SUMIFS(Database!B:B,Database!A:A,B23) + SUMIFS(Database!F:F,Database!A:A,B23)</f>
        <v>50</v>
      </c>
      <c r="X23" s="5" t="e">
        <f aca="false" t="array" ref="X23:X23">AVERAGE(xlookup(B23, Database!K:K, Database!L:N,NA()))</f>
        <v>#N/A</v>
      </c>
    </row>
    <row r="24" customFormat="false" ht="15.75" hidden="false" customHeight="true" outlineLevel="0" collapsed="false">
      <c r="A24" s="5" t="n">
        <v>19</v>
      </c>
      <c r="B24" s="5" t="s">
        <v>23</v>
      </c>
      <c r="C24" s="5" t="n">
        <f aca="false">COUNTIFS(Olympiade_1!$B:$B,$B24,Olympiade_1!$F:$F,1)+COUNTIFS(Olympiade_2!$B:$B,$B24,Olympiade_2!$F:$F,1)+COUNTIFS(Olympiade_3!$B:$B,$B24,Olympiade_3!$F:$F,1)+COUNTIFS(Olympiade_4!$B:$B,$B24,Olympiade_4!$F:$F,1)+COUNTIFS(Olympiade_5!$B:$B,$B24,Olympiade_5!$F:$F,1)+COUNTIFS(Olympiade_6!$B:$B,$B24,Olympiade_6!$F:$F,1)+COUNTIFS(Olympiade_7!$B:$B,$B24,Olympiade_7!$F:$F,1)+COUNTIFS(Olympiade_8!$B:$B,$B24,Olympiade_8!$F:$F,1)</f>
        <v>0</v>
      </c>
      <c r="D24" s="5" t="n">
        <f aca="false">COUNTIFS(Olympiade_1!$B:$B, $B24, Olympiade_1!$F:$F,2)+COUNTIFS(Olympiade_2!$B:$B, $B24, Olympiade_2!$F:$F,2)+COUNTIFS(Olympiade_3!$B:$B, $B24, Olympiade_3!$F:$F,2)+COUNTIFS(Olympiade_4!$B:$B, $B24, Olympiade_4!$F:$F,2)+COUNTIFS(Olympiade_5!$B:$B, $B24, Olympiade_5!$F:$F,2)+COUNTIFS(Olympiade_6!$B:$B, $B24, Olympiade_6!$F:$F,2)+COUNTIFS(Olympiade_7!$B:$B, $B24, Olympiade_7!$F:$F,2)+COUNTIFS(Olympiade_8!$B:$B, $B24, Olympiade_8!$F:$F,2)</f>
        <v>0</v>
      </c>
      <c r="E24" s="5" t="n">
        <f aca="false">COUNTIFS(Olympiade_1!$B:$B, $B24, Olympiade_1!$F:$F,3)+COUNTIFS(Olympiade_2!$B:$B, $B24, Olympiade_2!$F:$F,3)+COUNTIFS(Olympiade_3!$B:$B, $B24, Olympiade_3!$F:$F,3)+COUNTIFS(Olympiade_4!$B:$B, $B24, Olympiade_4!$F:$F,3)+COUNTIFS(Olympiade_5!$B:$B, $B24, Olympiade_5!$F:$F,3)+COUNTIFS(Olympiade_6!$B:$B, $B24, Olympiade_6!$F:$F,3)+COUNTIFS(Olympiade_7!$B:$B, $B24, Olympiade_7!$F:$F,3)+COUNTIFS(Olympiade_8!$B:$B, $B24, Olympiade_8!$F:$F,3)</f>
        <v>1</v>
      </c>
      <c r="F24" s="5" t="n">
        <f aca="false">SUM(C24,D24,E24)</f>
        <v>1</v>
      </c>
      <c r="G24" s="5" t="n">
        <f aca="false">COUNTIFS(Olympiade_1!$B:$B, $B24, Olympiade_1!$G:$G,1)+COUNTIFS(Olympiade_2!$B:$B, $B24, Olympiade_2!$G:$G,1)+COUNTIFS(Olympiade_3!$B:$B, $B24, Olympiade_3!$G:$G,1)+COUNTIFS(Olympiade_4!$B:$B, $B24, Olympiade_4!$G:$G,1)+COUNTIFS(Olympiade_5!$B:$B, $B24, Olympiade_5!$G:$G,1)+COUNTIFS(Olympiade_6!$B:$B, $B24, Olympiade_6!$G:$G,1)+COUNTIFS(Olympiade_7!$B:$B, $B24, Olympiade_7!$G:$G,1)+COUNTIFS(Olympiade_8!$B:$B, $B24, Olympiade_8!$G:$G,1)</f>
        <v>0</v>
      </c>
      <c r="H24" s="5" t="n">
        <f aca="false">COUNTIFS(Olympiade_1!$B:$B, $B24, Olympiade_1!$G:$G,2)+COUNTIFS(Olympiade_2!$B:$B, $B24, Olympiade_2!$G:$G,2)+COUNTIFS(Olympiade_3!$B:$B, $B24, Olympiade_3!$G:$G,2)+COUNTIFS(Olympiade_4!$B:$B, $B24, Olympiade_4!$G:$G,2)+COUNTIFS(Olympiade_5!$B:$B, $B24, Olympiade_5!$G:$G,2)+COUNTIFS(Olympiade_6!$B:$B, $B24, Olympiade_6!$G:$G,2)+COUNTIFS(Olympiade_7!$B:$B, $B24, Olympiade_7!$G:$G,2)+COUNTIFS(Olympiade_8!$B:$B, $B24, Olympiade_8!$G:$G,2)</f>
        <v>1</v>
      </c>
      <c r="I24" s="5" t="n">
        <f aca="false">COUNTIFS(Olympiade_1!$B:$B, $B24, Olympiade_1!$G:$G,3)+COUNTIFS(Olympiade_2!$B:$B, $B24, Olympiade_2!$G:$G,3)+COUNTIFS(Olympiade_3!$B:$B, $B24, Olympiade_3!$G:$G,3)+COUNTIFS(Olympiade_4!$B:$B, $B24, Olympiade_4!$G:$G,3)+COUNTIFS(Olympiade_5!$B:$B, $B24, Olympiade_5!$G:$G,3)+COUNTIFS(Olympiade_6!$B:$B, $B24, Olympiade_6!$G:$G,3)+COUNTIFS(Olympiade_7!$B:$B, $B24, Olympiade_7!$G:$G,3)+COUNTIFS(Olympiade_8!$B:$B, $B24, Olympiade_8!$G:$G,3)</f>
        <v>1</v>
      </c>
      <c r="J24" s="5" t="n">
        <f aca="false">SUM(G24,H24,I24)</f>
        <v>2</v>
      </c>
      <c r="K24" s="5" t="n">
        <f aca="false">COUNTIFS(Olympiade_1!$B:$B, $B24, Olympiade_1!$H:$H,1)+COUNTIFS(Olympiade_2!$B:$B, $B24, Olympiade_2!$H:$H,1)+COUNTIFS(Olympiade_3!$B:$B, $B24, Olympiade_3!$H:$H,1)+COUNTIFS(Olympiade_4!$B:$B, $B24, Olympiade_4!$H:$H,1)+COUNTIFS(Olympiade_5!$B:$B, $B24, Olympiade_5!$H:$H,1)+COUNTIFS(Olympiade_6!$B:$B, $B24, Olympiade_6!$H:$H,1)+COUNTIFS(Olympiade_7!$B:$B, $B24, Olympiade_7!$H:$H,1)+COUNTIFS(Olympiade_8!$B:$B, $B24, Olympiade_8!$H:$H,1)</f>
        <v>0</v>
      </c>
      <c r="L24" s="5" t="n">
        <f aca="false">COUNTIFS(Olympiade_1!$B:$B, $B24, Olympiade_1!$H:$H,2)+COUNTIFS(Olympiade_2!$B:$B, $B24, Olympiade_2!$H:$H,2)+COUNTIFS(Olympiade_3!$B:$B, $B24, Olympiade_3!$H:$H,2)+COUNTIFS(Olympiade_4!$B:$B, $B24, Olympiade_4!$H:$H,2)+COUNTIFS(Olympiade_5!$B:$B, $B24, Olympiade_5!$H:$H,2)+COUNTIFS(Olympiade_6!$B:$B, $B24, Olympiade_6!$H:$H,2)+COUNTIFS(Olympiade_7!$B:$B, $B24, Olympiade_7!$H:$H,2)+COUNTIFS(Olympiade_8!$B:$B, $B24, Olympiade_8!$H:$H,2)</f>
        <v>0</v>
      </c>
      <c r="M24" s="5" t="n">
        <f aca="false">COUNTIFS(Olympiade_1!$B:$B, $B24, Olympiade_1!$H:$H,3)+COUNTIFS(Olympiade_2!$B:$B, $B24, Olympiade_2!$H:$H,3)+COUNTIFS(Olympiade_3!$B:$B, $B24, Olympiade_3!$H:$H,3)+COUNTIFS(Olympiade_4!$B:$B, $B24, Olympiade_4!$H:$H,3)+COUNTIFS(Olympiade_5!$B:$B, $B24, Olympiade_5!$H:$H,3)+COUNTIFS(Olympiade_6!$B:$B, $B24, Olympiade_6!$H:$H,3)+COUNTIFS(Olympiade_7!$B:$B, $B24, Olympiade_7!$H:$H,3)+COUNTIFS(Olympiade_8!$B:$B, $B24, Olympiade_8!$H:$H,3)</f>
        <v>1</v>
      </c>
      <c r="N24" s="5" t="n">
        <f aca="false">SUM(K24,L24,M24)</f>
        <v>1</v>
      </c>
      <c r="O24" s="5" t="n">
        <f aca="false">COUNTIFS(Olympiade_1!$B:$B, $B24, Olympiade_1!$A:$A,1)+COUNTIFS(Olympiade_2!$B:$B, $B24, Olympiade_2!$A:$A,1)+COUNTIFS(Olympiade_3!$B:$B, $B24, Olympiade_3!$A:$A,1)+COUNTIFS(Olympiade_4!$B:$B, $B24, Olympiade_4!$A:$A,1)+COUNTIFS(Olympiade_5!$B:$B, $B24, Olympiade_5!$A:$A,1)+COUNTIFS(Olympiade_6!$B:$B, $B24, Olympiade_6!$A:$A,1)+COUNTIFS(Olympiade_7!$B:$B, $B24, Olympiade_7!$A:$A,1)+COUNTIFS(Olympiade_8!$B:$B, $B24, Olympiade_8!$A:$A,1)</f>
        <v>0</v>
      </c>
      <c r="P24" s="5" t="n">
        <f aca="false">COUNTIFS(Olympiade_1!$B:$B, $B24, Olympiade_1!$A:$A,2)+COUNTIFS(Olympiade_2!$B:$B, $B24, Olympiade_2!$A:$A,2)+COUNTIFS(Olympiade_3!$B:$B, $B24, Olympiade_3!$A:$A,2)+COUNTIFS(Olympiade_4!$B:$B, $B24, Olympiade_4!$A:$A,2)+COUNTIFS(Olympiade_5!$B:$B, $B24, Olympiade_5!$A:$A,2)+COUNTIFS(Olympiade_6!$B:$B, $B24, Olympiade_6!$A:$A,2)+COUNTIFS(Olympiade_7!$B:$B, $B24, Olympiade_7!$A:$A,2)+COUNTIFS(Olympiade_8!$B:$B, $B24, Olympiade_8!$A:$A,2)</f>
        <v>0</v>
      </c>
      <c r="Q24" s="5" t="n">
        <f aca="false">COUNTIFS(Olympiade_1!$B:$B, $B24, Olympiade_1!$A:$A,3)+COUNTIFS(Olympiade_2!$B:$B, $B24, Olympiade_2!$A:$A,3)+COUNTIFS(Olympiade_3!$B:$B, $B24, Olympiade_3!$A:$A,3)+COUNTIFS(Olympiade_4!$B:$B, $B24, Olympiade_4!$A:$A,3)+COUNTIFS(Olympiade_5!$B:$B, $B24, Olympiade_5!$A:$A,3)+COUNTIFS(Olympiade_6!$B:$B, $B24, Olympiade_6!$A:$A,3)+COUNTIFS(Olympiade_7!$B:$B, $B24, Olympiade_7!$A:$A,3)+COUNTIFS(Olympiade_8!$B:$B, $B24, Olympiade_8!$A:$A,3)</f>
        <v>1</v>
      </c>
      <c r="R24" s="5" t="n">
        <f aca="false">SUM(O24,P24,Q24)</f>
        <v>1</v>
      </c>
      <c r="S24" s="5" t="n">
        <f aca="false">SUM(C24,G24,K24,O24)</f>
        <v>0</v>
      </c>
      <c r="T24" s="5" t="n">
        <f aca="false">SUM(D24,H24,L24,P24)</f>
        <v>1</v>
      </c>
      <c r="U24" s="5" t="n">
        <f aca="false">SUM(E24,I24,M24,Q24)</f>
        <v>4</v>
      </c>
      <c r="V24" s="5" t="n">
        <f aca="false">SUM(S24,T24,U24)</f>
        <v>5</v>
      </c>
      <c r="W24" s="5" t="n">
        <f aca="false">SUMIFS(Database!B:B,Database!A:A,B24) + SUMIFS(Database!F:F,Database!A:A,B24)</f>
        <v>90</v>
      </c>
      <c r="X24" s="5" t="e">
        <f aca="false" t="array" ref="X24:X24">AVERAGE(xlookup(B24, Database!K:K, Database!L:N,NA()))</f>
        <v>#N/A</v>
      </c>
    </row>
    <row r="25" customFormat="false" ht="15.75" hidden="false" customHeight="true" outlineLevel="0" collapsed="false">
      <c r="A25" s="5" t="n">
        <v>12</v>
      </c>
      <c r="B25" s="5" t="s">
        <v>16</v>
      </c>
      <c r="C25" s="5" t="n">
        <f aca="false">COUNTIFS(Olympiade_1!$B:$B,$B25,Olympiade_1!$F:$F,1)+COUNTIFS(Olympiade_2!$B:$B,$B25,Olympiade_2!$F:$F,1)+COUNTIFS(Olympiade_3!$B:$B,$B25,Olympiade_3!$F:$F,1)+COUNTIFS(Olympiade_4!$B:$B,$B25,Olympiade_4!$F:$F,1)+COUNTIFS(Olympiade_5!$B:$B,$B25,Olympiade_5!$F:$F,1)+COUNTIFS(Olympiade_6!$B:$B,$B25,Olympiade_6!$F:$F,1)+COUNTIFS(Olympiade_7!$B:$B,$B25,Olympiade_7!$F:$F,1)+COUNTIFS(Olympiade_8!$B:$B,$B25,Olympiade_8!$F:$F,1)</f>
        <v>0</v>
      </c>
      <c r="D25" s="5" t="n">
        <f aca="false">COUNTIFS(Olympiade_1!$B:$B, $B25, Olympiade_1!$F:$F,2)+COUNTIFS(Olympiade_2!$B:$B, $B25, Olympiade_2!$F:$F,2)+COUNTIFS(Olympiade_3!$B:$B, $B25, Olympiade_3!$F:$F,2)+COUNTIFS(Olympiade_4!$B:$B, $B25, Olympiade_4!$F:$F,2)+COUNTIFS(Olympiade_5!$B:$B, $B25, Olympiade_5!$F:$F,2)+COUNTIFS(Olympiade_6!$B:$B, $B25, Olympiade_6!$F:$F,2)+COUNTIFS(Olympiade_7!$B:$B, $B25, Olympiade_7!$F:$F,2)+COUNTIFS(Olympiade_8!$B:$B, $B25, Olympiade_8!$F:$F,2)</f>
        <v>0</v>
      </c>
      <c r="E25" s="5" t="n">
        <f aca="false">COUNTIFS(Olympiade_1!$B:$B, $B25, Olympiade_1!$F:$F,3)+COUNTIFS(Olympiade_2!$B:$B, $B25, Olympiade_2!$F:$F,3)+COUNTIFS(Olympiade_3!$B:$B, $B25, Olympiade_3!$F:$F,3)+COUNTIFS(Olympiade_4!$B:$B, $B25, Olympiade_4!$F:$F,3)+COUNTIFS(Olympiade_5!$B:$B, $B25, Olympiade_5!$F:$F,3)+COUNTIFS(Olympiade_6!$B:$B, $B25, Olympiade_6!$F:$F,3)+COUNTIFS(Olympiade_7!$B:$B, $B25, Olympiade_7!$F:$F,3)+COUNTIFS(Olympiade_8!$B:$B, $B25, Olympiade_8!$F:$F,3)</f>
        <v>0</v>
      </c>
      <c r="F25" s="5" t="n">
        <f aca="false">SUM(C25,D25,E25)</f>
        <v>0</v>
      </c>
      <c r="G25" s="5" t="n">
        <f aca="false">COUNTIFS(Olympiade_1!$B:$B, $B25, Olympiade_1!$G:$G,1)+COUNTIFS(Olympiade_2!$B:$B, $B25, Olympiade_2!$G:$G,1)+COUNTIFS(Olympiade_3!$B:$B, $B25, Olympiade_3!$G:$G,1)+COUNTIFS(Olympiade_4!$B:$B, $B25, Olympiade_4!$G:$G,1)+COUNTIFS(Olympiade_5!$B:$B, $B25, Olympiade_5!$G:$G,1)+COUNTIFS(Olympiade_6!$B:$B, $B25, Olympiade_6!$G:$G,1)+COUNTIFS(Olympiade_7!$B:$B, $B25, Olympiade_7!$G:$G,1)+COUNTIFS(Olympiade_8!$B:$B, $B25, Olympiade_8!$G:$G,1)</f>
        <v>0</v>
      </c>
      <c r="H25" s="5" t="n">
        <f aca="false">COUNTIFS(Olympiade_1!$B:$B, $B25, Olympiade_1!$G:$G,2)+COUNTIFS(Olympiade_2!$B:$B, $B25, Olympiade_2!$G:$G,2)+COUNTIFS(Olympiade_3!$B:$B, $B25, Olympiade_3!$G:$G,2)+COUNTIFS(Olympiade_4!$B:$B, $B25, Olympiade_4!$G:$G,2)+COUNTIFS(Olympiade_5!$B:$B, $B25, Olympiade_5!$G:$G,2)+COUNTIFS(Olympiade_6!$B:$B, $B25, Olympiade_6!$G:$G,2)+COUNTIFS(Olympiade_7!$B:$B, $B25, Olympiade_7!$G:$G,2)+COUNTIFS(Olympiade_8!$B:$B, $B25, Olympiade_8!$G:$G,2)</f>
        <v>0</v>
      </c>
      <c r="I25" s="5" t="n">
        <f aca="false">COUNTIFS(Olympiade_1!$B:$B, $B25, Olympiade_1!$G:$G,3)+COUNTIFS(Olympiade_2!$B:$B, $B25, Olympiade_2!$G:$G,3)+COUNTIFS(Olympiade_3!$B:$B, $B25, Olympiade_3!$G:$G,3)+COUNTIFS(Olympiade_4!$B:$B, $B25, Olympiade_4!$G:$G,3)+COUNTIFS(Olympiade_5!$B:$B, $B25, Olympiade_5!$G:$G,3)+COUNTIFS(Olympiade_6!$B:$B, $B25, Olympiade_6!$G:$G,3)+COUNTIFS(Olympiade_7!$B:$B, $B25, Olympiade_7!$G:$G,3)+COUNTIFS(Olympiade_8!$B:$B, $B25, Olympiade_8!$G:$G,3)</f>
        <v>1</v>
      </c>
      <c r="J25" s="5" t="n">
        <f aca="false">SUM(G25,H25,I25)</f>
        <v>1</v>
      </c>
      <c r="K25" s="5" t="n">
        <f aca="false">COUNTIFS(Olympiade_1!$B:$B, $B25, Olympiade_1!$H:$H,1)+COUNTIFS(Olympiade_2!$B:$B, $B25, Olympiade_2!$H:$H,1)+COUNTIFS(Olympiade_3!$B:$B, $B25, Olympiade_3!$H:$H,1)+COUNTIFS(Olympiade_4!$B:$B, $B25, Olympiade_4!$H:$H,1)+COUNTIFS(Olympiade_5!$B:$B, $B25, Olympiade_5!$H:$H,1)+COUNTIFS(Olympiade_6!$B:$B, $B25, Olympiade_6!$H:$H,1)+COUNTIFS(Olympiade_7!$B:$B, $B25, Olympiade_7!$H:$H,1)+COUNTIFS(Olympiade_8!$B:$B, $B25, Olympiade_8!$H:$H,1)</f>
        <v>2</v>
      </c>
      <c r="L25" s="5" t="n">
        <f aca="false">COUNTIFS(Olympiade_1!$B:$B, $B25, Olympiade_1!$H:$H,2)+COUNTIFS(Olympiade_2!$B:$B, $B25, Olympiade_2!$H:$H,2)+COUNTIFS(Olympiade_3!$B:$B, $B25, Olympiade_3!$H:$H,2)+COUNTIFS(Olympiade_4!$B:$B, $B25, Olympiade_4!$H:$H,2)+COUNTIFS(Olympiade_5!$B:$B, $B25, Olympiade_5!$H:$H,2)+COUNTIFS(Olympiade_6!$B:$B, $B25, Olympiade_6!$H:$H,2)+COUNTIFS(Olympiade_7!$B:$B, $B25, Olympiade_7!$H:$H,2)+COUNTIFS(Olympiade_8!$B:$B, $B25, Olympiade_8!$H:$H,2)</f>
        <v>0</v>
      </c>
      <c r="M25" s="5" t="n">
        <f aca="false">COUNTIFS(Olympiade_1!$B:$B, $B25, Olympiade_1!$H:$H,3)+COUNTIFS(Olympiade_2!$B:$B, $B25, Olympiade_2!$H:$H,3)+COUNTIFS(Olympiade_3!$B:$B, $B25, Olympiade_3!$H:$H,3)+COUNTIFS(Olympiade_4!$B:$B, $B25, Olympiade_4!$H:$H,3)+COUNTIFS(Olympiade_5!$B:$B, $B25, Olympiade_5!$H:$H,3)+COUNTIFS(Olympiade_6!$B:$B, $B25, Olympiade_6!$H:$H,3)+COUNTIFS(Olympiade_7!$B:$B, $B25, Olympiade_7!$H:$H,3)+COUNTIFS(Olympiade_8!$B:$B, $B25, Olympiade_8!$H:$H,3)</f>
        <v>0</v>
      </c>
      <c r="N25" s="5" t="n">
        <f aca="false">SUM(K25,L25,M25)</f>
        <v>2</v>
      </c>
      <c r="O25" s="5" t="n">
        <f aca="false">COUNTIFS(Olympiade_1!$B:$B, $B25, Olympiade_1!$A:$A,1)+COUNTIFS(Olympiade_2!$B:$B, $B25, Olympiade_2!$A:$A,1)+COUNTIFS(Olympiade_3!$B:$B, $B25, Olympiade_3!$A:$A,1)+COUNTIFS(Olympiade_4!$B:$B, $B25, Olympiade_4!$A:$A,1)+COUNTIFS(Olympiade_5!$B:$B, $B25, Olympiade_5!$A:$A,1)+COUNTIFS(Olympiade_6!$B:$B, $B25, Olympiade_6!$A:$A,1)+COUNTIFS(Olympiade_7!$B:$B, $B25, Olympiade_7!$A:$A,1)+COUNTIFS(Olympiade_8!$B:$B, $B25, Olympiade_8!$A:$A,1)</f>
        <v>0</v>
      </c>
      <c r="P25" s="5" t="n">
        <f aca="false">COUNTIFS(Olympiade_1!$B:$B, $B25, Olympiade_1!$A:$A,2)+COUNTIFS(Olympiade_2!$B:$B, $B25, Olympiade_2!$A:$A,2)+COUNTIFS(Olympiade_3!$B:$B, $B25, Olympiade_3!$A:$A,2)+COUNTIFS(Olympiade_4!$B:$B, $B25, Olympiade_4!$A:$A,2)+COUNTIFS(Olympiade_5!$B:$B, $B25, Olympiade_5!$A:$A,2)+COUNTIFS(Olympiade_6!$B:$B, $B25, Olympiade_6!$A:$A,2)+COUNTIFS(Olympiade_7!$B:$B, $B25, Olympiade_7!$A:$A,2)+COUNTIFS(Olympiade_8!$B:$B, $B25, Olympiade_8!$A:$A,2)</f>
        <v>0</v>
      </c>
      <c r="Q25" s="5" t="n">
        <f aca="false">COUNTIFS(Olympiade_1!$B:$B, $B25, Olympiade_1!$A:$A,3)+COUNTIFS(Olympiade_2!$B:$B, $B25, Olympiade_2!$A:$A,3)+COUNTIFS(Olympiade_3!$B:$B, $B25, Olympiade_3!$A:$A,3)+COUNTIFS(Olympiade_4!$B:$B, $B25, Olympiade_4!$A:$A,3)+COUNTIFS(Olympiade_5!$B:$B, $B25, Olympiade_5!$A:$A,3)+COUNTIFS(Olympiade_6!$B:$B, $B25, Olympiade_6!$A:$A,3)+COUNTIFS(Olympiade_7!$B:$B, $B25, Olympiade_7!$A:$A,3)+COUNTIFS(Olympiade_8!$B:$B, $B25, Olympiade_8!$A:$A,3)</f>
        <v>0</v>
      </c>
      <c r="R25" s="5" t="n">
        <f aca="false">SUM(O25,P25,Q25)</f>
        <v>0</v>
      </c>
      <c r="S25" s="5" t="n">
        <f aca="false">SUM(C25,G25,K25,O25)</f>
        <v>2</v>
      </c>
      <c r="T25" s="5" t="n">
        <f aca="false">SUM(D25,H25,L25,P25)</f>
        <v>0</v>
      </c>
      <c r="U25" s="5" t="n">
        <f aca="false">SUM(E25,I25,M25,Q25)</f>
        <v>1</v>
      </c>
      <c r="V25" s="5" t="n">
        <f aca="false">SUM(S25,T25,U25)</f>
        <v>3</v>
      </c>
      <c r="W25" s="5" t="n">
        <f aca="false">SUMIFS(Database!B:B,Database!A:A,B25) + SUMIFS(Database!F:F,Database!A:A,B25)</f>
        <v>150</v>
      </c>
      <c r="X25" s="5" t="e">
        <f aca="false" t="array" ref="X25:X25">AVERAGE(xlookup(B25, Database!K:K, Database!L:N,NA()))</f>
        <v>#N/A</v>
      </c>
    </row>
    <row r="26" customFormat="false" ht="15.75" hidden="false" customHeight="true" outlineLevel="0" collapsed="false">
      <c r="A26" s="5" t="n">
        <v>17</v>
      </c>
      <c r="B26" s="5" t="s">
        <v>22</v>
      </c>
      <c r="C26" s="5" t="n">
        <f aca="false">COUNTIFS(Olympiade_1!$B:$B,$B26,Olympiade_1!$F:$F,1)+COUNTIFS(Olympiade_2!$B:$B,$B26,Olympiade_2!$F:$F,1)+COUNTIFS(Olympiade_3!$B:$B,$B26,Olympiade_3!$F:$F,1)+COUNTIFS(Olympiade_4!$B:$B,$B26,Olympiade_4!$F:$F,1)+COUNTIFS(Olympiade_5!$B:$B,$B26,Olympiade_5!$F:$F,1)+COUNTIFS(Olympiade_6!$B:$B,$B26,Olympiade_6!$F:$F,1)+COUNTIFS(Olympiade_7!$B:$B,$B26,Olympiade_7!$F:$F,1)+COUNTIFS(Olympiade_8!$B:$B,$B26,Olympiade_8!$F:$F,1)</f>
        <v>0</v>
      </c>
      <c r="D26" s="5" t="n">
        <f aca="false">COUNTIFS(Olympiade_1!$B:$B, $B26, Olympiade_1!$F:$F,2)+COUNTIFS(Olympiade_2!$B:$B, $B26, Olympiade_2!$F:$F,2)+COUNTIFS(Olympiade_3!$B:$B, $B26, Olympiade_3!$F:$F,2)+COUNTIFS(Olympiade_4!$B:$B, $B26, Olympiade_4!$F:$F,2)+COUNTIFS(Olympiade_5!$B:$B, $B26, Olympiade_5!$F:$F,2)+COUNTIFS(Olympiade_6!$B:$B, $B26, Olympiade_6!$F:$F,2)+COUNTIFS(Olympiade_7!$B:$B, $B26, Olympiade_7!$F:$F,2)+COUNTIFS(Olympiade_8!$B:$B, $B26, Olympiade_8!$F:$F,2)</f>
        <v>1</v>
      </c>
      <c r="E26" s="5" t="n">
        <f aca="false">COUNTIFS(Olympiade_1!$B:$B, $B26, Olympiade_1!$F:$F,3)+COUNTIFS(Olympiade_2!$B:$B, $B26, Olympiade_2!$F:$F,3)+COUNTIFS(Olympiade_3!$B:$B, $B26, Olympiade_3!$F:$F,3)+COUNTIFS(Olympiade_4!$B:$B, $B26, Olympiade_4!$F:$F,3)+COUNTIFS(Olympiade_5!$B:$B, $B26, Olympiade_5!$F:$F,3)+COUNTIFS(Olympiade_6!$B:$B, $B26, Olympiade_6!$F:$F,3)+COUNTIFS(Olympiade_7!$B:$B, $B26, Olympiade_7!$F:$F,3)+COUNTIFS(Olympiade_8!$B:$B, $B26, Olympiade_8!$F:$F,3)</f>
        <v>0</v>
      </c>
      <c r="F26" s="5" t="n">
        <f aca="false">SUM(C26,D26,E26)</f>
        <v>1</v>
      </c>
      <c r="G26" s="5" t="n">
        <f aca="false">COUNTIFS(Olympiade_1!$B:$B, $B26, Olympiade_1!$G:$G,1)+COUNTIFS(Olympiade_2!$B:$B, $B26, Olympiade_2!$G:$G,1)+COUNTIFS(Olympiade_3!$B:$B, $B26, Olympiade_3!$G:$G,1)+COUNTIFS(Olympiade_4!$B:$B, $B26, Olympiade_4!$G:$G,1)+COUNTIFS(Olympiade_5!$B:$B, $B26, Olympiade_5!$G:$G,1)+COUNTIFS(Olympiade_6!$B:$B, $B26, Olympiade_6!$G:$G,1)+COUNTIFS(Olympiade_7!$B:$B, $B26, Olympiade_7!$G:$G,1)+COUNTIFS(Olympiade_8!$B:$B, $B26, Olympiade_8!$G:$G,1)</f>
        <v>0</v>
      </c>
      <c r="H26" s="5" t="n">
        <f aca="false">COUNTIFS(Olympiade_1!$B:$B, $B26, Olympiade_1!$G:$G,2)+COUNTIFS(Olympiade_2!$B:$B, $B26, Olympiade_2!$G:$G,2)+COUNTIFS(Olympiade_3!$B:$B, $B26, Olympiade_3!$G:$G,2)+COUNTIFS(Olympiade_4!$B:$B, $B26, Olympiade_4!$G:$G,2)+COUNTIFS(Olympiade_5!$B:$B, $B26, Olympiade_5!$G:$G,2)+COUNTIFS(Olympiade_6!$B:$B, $B26, Olympiade_6!$G:$G,2)+COUNTIFS(Olympiade_7!$B:$B, $B26, Olympiade_7!$G:$G,2)+COUNTIFS(Olympiade_8!$B:$B, $B26, Olympiade_8!$G:$G,2)</f>
        <v>0</v>
      </c>
      <c r="I26" s="5" t="n">
        <f aca="false">COUNTIFS(Olympiade_1!$B:$B, $B26, Olympiade_1!$G:$G,3)+COUNTIFS(Olympiade_2!$B:$B, $B26, Olympiade_2!$G:$G,3)+COUNTIFS(Olympiade_3!$B:$B, $B26, Olympiade_3!$G:$G,3)+COUNTIFS(Olympiade_4!$B:$B, $B26, Olympiade_4!$G:$G,3)+COUNTIFS(Olympiade_5!$B:$B, $B26, Olympiade_5!$G:$G,3)+COUNTIFS(Olympiade_6!$B:$B, $B26, Olympiade_6!$G:$G,3)+COUNTIFS(Olympiade_7!$B:$B, $B26, Olympiade_7!$G:$G,3)+COUNTIFS(Olympiade_8!$B:$B, $B26, Olympiade_8!$G:$G,3)</f>
        <v>0</v>
      </c>
      <c r="J26" s="5" t="n">
        <f aca="false">SUM(G26,H26,I26)</f>
        <v>0</v>
      </c>
      <c r="K26" s="5" t="n">
        <f aca="false">COUNTIFS(Olympiade_1!$B:$B, $B26, Olympiade_1!$H:$H,1)+COUNTIFS(Olympiade_2!$B:$B, $B26, Olympiade_2!$H:$H,1)+COUNTIFS(Olympiade_3!$B:$B, $B26, Olympiade_3!$H:$H,1)+COUNTIFS(Olympiade_4!$B:$B, $B26, Olympiade_4!$H:$H,1)+COUNTIFS(Olympiade_5!$B:$B, $B26, Olympiade_5!$H:$H,1)+COUNTIFS(Olympiade_6!$B:$B, $B26, Olympiade_6!$H:$H,1)+COUNTIFS(Olympiade_7!$B:$B, $B26, Olympiade_7!$H:$H,1)+COUNTIFS(Olympiade_8!$B:$B, $B26, Olympiade_8!$H:$H,1)</f>
        <v>0</v>
      </c>
      <c r="L26" s="5" t="n">
        <f aca="false">COUNTIFS(Olympiade_1!$B:$B, $B26, Olympiade_1!$H:$H,2)+COUNTIFS(Olympiade_2!$B:$B, $B26, Olympiade_2!$H:$H,2)+COUNTIFS(Olympiade_3!$B:$B, $B26, Olympiade_3!$H:$H,2)+COUNTIFS(Olympiade_4!$B:$B, $B26, Olympiade_4!$H:$H,2)+COUNTIFS(Olympiade_5!$B:$B, $B26, Olympiade_5!$H:$H,2)+COUNTIFS(Olympiade_6!$B:$B, $B26, Olympiade_6!$H:$H,2)+COUNTIFS(Olympiade_7!$B:$B, $B26, Olympiade_7!$H:$H,2)+COUNTIFS(Olympiade_8!$B:$B, $B26, Olympiade_8!$H:$H,2)</f>
        <v>1</v>
      </c>
      <c r="M26" s="5" t="n">
        <f aca="false">COUNTIFS(Olympiade_1!$B:$B, $B26, Olympiade_1!$H:$H,3)+COUNTIFS(Olympiade_2!$B:$B, $B26, Olympiade_2!$H:$H,3)+COUNTIFS(Olympiade_3!$B:$B, $B26, Olympiade_3!$H:$H,3)+COUNTIFS(Olympiade_4!$B:$B, $B26, Olympiade_4!$H:$H,3)+COUNTIFS(Olympiade_5!$B:$B, $B26, Olympiade_5!$H:$H,3)+COUNTIFS(Olympiade_6!$B:$B, $B26, Olympiade_6!$H:$H,3)+COUNTIFS(Olympiade_7!$B:$B, $B26, Olympiade_7!$H:$H,3)+COUNTIFS(Olympiade_8!$B:$B, $B26, Olympiade_8!$H:$H,3)</f>
        <v>0</v>
      </c>
      <c r="N26" s="5" t="n">
        <f aca="false">SUM(K26,L26,M26)</f>
        <v>1</v>
      </c>
      <c r="O26" s="5" t="n">
        <f aca="false">COUNTIFS(Olympiade_1!$B:$B, $B26, Olympiade_1!$A:$A,1)+COUNTIFS(Olympiade_2!$B:$B, $B26, Olympiade_2!$A:$A,1)+COUNTIFS(Olympiade_3!$B:$B, $B26, Olympiade_3!$A:$A,1)+COUNTIFS(Olympiade_4!$B:$B, $B26, Olympiade_4!$A:$A,1)+COUNTIFS(Olympiade_5!$B:$B, $B26, Olympiade_5!$A:$A,1)+COUNTIFS(Olympiade_6!$B:$B, $B26, Olympiade_6!$A:$A,1)+COUNTIFS(Olympiade_7!$B:$B, $B26, Olympiade_7!$A:$A,1)+COUNTIFS(Olympiade_8!$B:$B, $B26, Olympiade_8!$A:$A,1)</f>
        <v>0</v>
      </c>
      <c r="P26" s="5" t="n">
        <f aca="false">COUNTIFS(Olympiade_1!$B:$B, $B26, Olympiade_1!$A:$A,2)+COUNTIFS(Olympiade_2!$B:$B, $B26, Olympiade_2!$A:$A,2)+COUNTIFS(Olympiade_3!$B:$B, $B26, Olympiade_3!$A:$A,2)+COUNTIFS(Olympiade_4!$B:$B, $B26, Olympiade_4!$A:$A,2)+COUNTIFS(Olympiade_5!$B:$B, $B26, Olympiade_5!$A:$A,2)+COUNTIFS(Olympiade_6!$B:$B, $B26, Olympiade_6!$A:$A,2)+COUNTIFS(Olympiade_7!$B:$B, $B26, Olympiade_7!$A:$A,2)+COUNTIFS(Olympiade_8!$B:$B, $B26, Olympiade_8!$A:$A,2)</f>
        <v>0</v>
      </c>
      <c r="Q26" s="5" t="n">
        <f aca="false">COUNTIFS(Olympiade_1!$B:$B, $B26, Olympiade_1!$A:$A,3)+COUNTIFS(Olympiade_2!$B:$B, $B26, Olympiade_2!$A:$A,3)+COUNTIFS(Olympiade_3!$B:$B, $B26, Olympiade_3!$A:$A,3)+COUNTIFS(Olympiade_4!$B:$B, $B26, Olympiade_4!$A:$A,3)+COUNTIFS(Olympiade_5!$B:$B, $B26, Olympiade_5!$A:$A,3)+COUNTIFS(Olympiade_6!$B:$B, $B26, Olympiade_6!$A:$A,3)+COUNTIFS(Olympiade_7!$B:$B, $B26, Olympiade_7!$A:$A,3)+COUNTIFS(Olympiade_8!$B:$B, $B26, Olympiade_8!$A:$A,3)</f>
        <v>0</v>
      </c>
      <c r="R26" s="5" t="n">
        <f aca="false">SUM(O26,P26,Q26)</f>
        <v>0</v>
      </c>
      <c r="S26" s="5" t="n">
        <f aca="false">SUM(C26,G26,K26,O26)</f>
        <v>0</v>
      </c>
      <c r="T26" s="5" t="n">
        <f aca="false">SUM(D26,H26,L26,P26)</f>
        <v>2</v>
      </c>
      <c r="U26" s="5" t="n">
        <f aca="false">SUM(E26,I26,M26,Q26)</f>
        <v>0</v>
      </c>
      <c r="V26" s="5" t="n">
        <f aca="false">SUM(S26,T26,U26)</f>
        <v>2</v>
      </c>
      <c r="W26" s="5" t="n">
        <f aca="false">SUMIFS(Database!B:B,Database!A:A,B26) + SUMIFS(Database!F:F,Database!A:A,B26)</f>
        <v>100</v>
      </c>
      <c r="X26" s="5" t="e">
        <f aca="false" t="array" ref="X26:X26">AVERAGE(xlookup(B26, Database!K:K, Database!L:N,NA()))</f>
        <v>#N/A</v>
      </c>
    </row>
    <row r="27" customFormat="false" ht="15.75" hidden="false" customHeight="true" outlineLevel="0" collapsed="false">
      <c r="A27" s="5" t="n">
        <v>20</v>
      </c>
      <c r="B27" s="5" t="s">
        <v>25</v>
      </c>
      <c r="C27" s="5" t="n">
        <f aca="false">COUNTIFS(Olympiade_1!$B:$B,$B27,Olympiade_1!$F:$F,1)+COUNTIFS(Olympiade_2!$B:$B,$B27,Olympiade_2!$F:$F,1)+COUNTIFS(Olympiade_3!$B:$B,$B27,Olympiade_3!$F:$F,1)+COUNTIFS(Olympiade_4!$B:$B,$B27,Olympiade_4!$F:$F,1)+COUNTIFS(Olympiade_5!$B:$B,$B27,Olympiade_5!$F:$F,1)+COUNTIFS(Olympiade_6!$B:$B,$B27,Olympiade_6!$F:$F,1)+COUNTIFS(Olympiade_7!$B:$B,$B27,Olympiade_7!$F:$F,1)+COUNTIFS(Olympiade_8!$B:$B,$B27,Olympiade_8!$F:$F,1)</f>
        <v>0</v>
      </c>
      <c r="D27" s="5" t="n">
        <f aca="false">COUNTIFS(Olympiade_1!$B:$B, $B27, Olympiade_1!$F:$F,2)+COUNTIFS(Olympiade_2!$B:$B, $B27, Olympiade_2!$F:$F,2)+COUNTIFS(Olympiade_3!$B:$B, $B27, Olympiade_3!$F:$F,2)+COUNTIFS(Olympiade_4!$B:$B, $B27, Olympiade_4!$F:$F,2)+COUNTIFS(Olympiade_5!$B:$B, $B27, Olympiade_5!$F:$F,2)+COUNTIFS(Olympiade_6!$B:$B, $B27, Olympiade_6!$F:$F,2)+COUNTIFS(Olympiade_7!$B:$B, $B27, Olympiade_7!$F:$F,2)+COUNTIFS(Olympiade_8!$B:$B, $B27, Olympiade_8!$F:$F,2)</f>
        <v>0</v>
      </c>
      <c r="E27" s="5" t="n">
        <f aca="false">COUNTIFS(Olympiade_1!$B:$B, $B27, Olympiade_1!$F:$F,3)+COUNTIFS(Olympiade_2!$B:$B, $B27, Olympiade_2!$F:$F,3)+COUNTIFS(Olympiade_3!$B:$B, $B27, Olympiade_3!$F:$F,3)+COUNTIFS(Olympiade_4!$B:$B, $B27, Olympiade_4!$F:$F,3)+COUNTIFS(Olympiade_5!$B:$B, $B27, Olympiade_5!$F:$F,3)+COUNTIFS(Olympiade_6!$B:$B, $B27, Olympiade_6!$F:$F,3)+COUNTIFS(Olympiade_7!$B:$B, $B27, Olympiade_7!$F:$F,3)+COUNTIFS(Olympiade_8!$B:$B, $B27, Olympiade_8!$F:$F,3)</f>
        <v>2</v>
      </c>
      <c r="F27" s="5" t="n">
        <f aca="false">SUM(C27,D27,E27)</f>
        <v>2</v>
      </c>
      <c r="G27" s="5" t="n">
        <f aca="false">COUNTIFS(Olympiade_1!$B:$B, $B27, Olympiade_1!$G:$G,1)+COUNTIFS(Olympiade_2!$B:$B, $B27, Olympiade_2!$G:$G,1)+COUNTIFS(Olympiade_3!$B:$B, $B27, Olympiade_3!$G:$G,1)+COUNTIFS(Olympiade_4!$B:$B, $B27, Olympiade_4!$G:$G,1)+COUNTIFS(Olympiade_5!$B:$B, $B27, Olympiade_5!$G:$G,1)+COUNTIFS(Olympiade_6!$B:$B, $B27, Olympiade_6!$G:$G,1)+COUNTIFS(Olympiade_7!$B:$B, $B27, Olympiade_7!$G:$G,1)+COUNTIFS(Olympiade_8!$B:$B, $B27, Olympiade_8!$G:$G,1)</f>
        <v>0</v>
      </c>
      <c r="H27" s="5" t="n">
        <f aca="false">COUNTIFS(Olympiade_1!$B:$B, $B27, Olympiade_1!$G:$G,2)+COUNTIFS(Olympiade_2!$B:$B, $B27, Olympiade_2!$G:$G,2)+COUNTIFS(Olympiade_3!$B:$B, $B27, Olympiade_3!$G:$G,2)+COUNTIFS(Olympiade_4!$B:$B, $B27, Olympiade_4!$G:$G,2)+COUNTIFS(Olympiade_5!$B:$B, $B27, Olympiade_5!$G:$G,2)+COUNTIFS(Olympiade_6!$B:$B, $B27, Olympiade_6!$G:$G,2)+COUNTIFS(Olympiade_7!$B:$B, $B27, Olympiade_7!$G:$G,2)+COUNTIFS(Olympiade_8!$B:$B, $B27, Olympiade_8!$G:$G,2)</f>
        <v>0</v>
      </c>
      <c r="I27" s="5" t="n">
        <f aca="false">COUNTIFS(Olympiade_1!$B:$B, $B27, Olympiade_1!$G:$G,3)+COUNTIFS(Olympiade_2!$B:$B, $B27, Olympiade_2!$G:$G,3)+COUNTIFS(Olympiade_3!$B:$B, $B27, Olympiade_3!$G:$G,3)+COUNTIFS(Olympiade_4!$B:$B, $B27, Olympiade_4!$G:$G,3)+COUNTIFS(Olympiade_5!$B:$B, $B27, Olympiade_5!$G:$G,3)+COUNTIFS(Olympiade_6!$B:$B, $B27, Olympiade_6!$G:$G,3)+COUNTIFS(Olympiade_7!$B:$B, $B27, Olympiade_7!$G:$G,3)+COUNTIFS(Olympiade_8!$B:$B, $B27, Olympiade_8!$G:$G,3)</f>
        <v>0</v>
      </c>
      <c r="J27" s="5" t="n">
        <f aca="false">SUM(G27,H27,I27)</f>
        <v>0</v>
      </c>
      <c r="K27" s="5" t="n">
        <f aca="false">COUNTIFS(Olympiade_1!$B:$B, $B27, Olympiade_1!$H:$H,1)+COUNTIFS(Olympiade_2!$B:$B, $B27, Olympiade_2!$H:$H,1)+COUNTIFS(Olympiade_3!$B:$B, $B27, Olympiade_3!$H:$H,1)+COUNTIFS(Olympiade_4!$B:$B, $B27, Olympiade_4!$H:$H,1)+COUNTIFS(Olympiade_5!$B:$B, $B27, Olympiade_5!$H:$H,1)+COUNTIFS(Olympiade_6!$B:$B, $B27, Olympiade_6!$H:$H,1)+COUNTIFS(Olympiade_7!$B:$B, $B27, Olympiade_7!$H:$H,1)+COUNTIFS(Olympiade_8!$B:$B, $B27, Olympiade_8!$H:$H,1)</f>
        <v>0</v>
      </c>
      <c r="L27" s="5" t="n">
        <f aca="false">COUNTIFS(Olympiade_1!$B:$B, $B27, Olympiade_1!$H:$H,2)+COUNTIFS(Olympiade_2!$B:$B, $B27, Olympiade_2!$H:$H,2)+COUNTIFS(Olympiade_3!$B:$B, $B27, Olympiade_3!$H:$H,2)+COUNTIFS(Olympiade_4!$B:$B, $B27, Olympiade_4!$H:$H,2)+COUNTIFS(Olympiade_5!$B:$B, $B27, Olympiade_5!$H:$H,2)+COUNTIFS(Olympiade_6!$B:$B, $B27, Olympiade_6!$H:$H,2)+COUNTIFS(Olympiade_7!$B:$B, $B27, Olympiade_7!$H:$H,2)+COUNTIFS(Olympiade_8!$B:$B, $B27, Olympiade_8!$H:$H,2)</f>
        <v>0</v>
      </c>
      <c r="M27" s="5" t="n">
        <f aca="false">COUNTIFS(Olympiade_1!$B:$B, $B27, Olympiade_1!$H:$H,3)+COUNTIFS(Olympiade_2!$B:$B, $B27, Olympiade_2!$H:$H,3)+COUNTIFS(Olympiade_3!$B:$B, $B27, Olympiade_3!$H:$H,3)+COUNTIFS(Olympiade_4!$B:$B, $B27, Olympiade_4!$H:$H,3)+COUNTIFS(Olympiade_5!$B:$B, $B27, Olympiade_5!$H:$H,3)+COUNTIFS(Olympiade_6!$B:$B, $B27, Olympiade_6!$H:$H,3)+COUNTIFS(Olympiade_7!$B:$B, $B27, Olympiade_7!$H:$H,3)+COUNTIFS(Olympiade_8!$B:$B, $B27, Olympiade_8!$H:$H,3)</f>
        <v>1</v>
      </c>
      <c r="N27" s="5" t="n">
        <f aca="false">SUM(K27,L27,M27)</f>
        <v>1</v>
      </c>
      <c r="O27" s="5" t="n">
        <f aca="false">COUNTIFS(Olympiade_1!$B:$B, $B27, Olympiade_1!$A:$A,1)+COUNTIFS(Olympiade_2!$B:$B, $B27, Olympiade_2!$A:$A,1)+COUNTIFS(Olympiade_3!$B:$B, $B27, Olympiade_3!$A:$A,1)+COUNTIFS(Olympiade_4!$B:$B, $B27, Olympiade_4!$A:$A,1)+COUNTIFS(Olympiade_5!$B:$B, $B27, Olympiade_5!$A:$A,1)+COUNTIFS(Olympiade_6!$B:$B, $B27, Olympiade_6!$A:$A,1)+COUNTIFS(Olympiade_7!$B:$B, $B27, Olympiade_7!$A:$A,1)+COUNTIFS(Olympiade_8!$B:$B, $B27, Olympiade_8!$A:$A,1)</f>
        <v>0</v>
      </c>
      <c r="P27" s="5" t="n">
        <f aca="false">COUNTIFS(Olympiade_1!$B:$B, $B27, Olympiade_1!$A:$A,2)+COUNTIFS(Olympiade_2!$B:$B, $B27, Olympiade_2!$A:$A,2)+COUNTIFS(Olympiade_3!$B:$B, $B27, Olympiade_3!$A:$A,2)+COUNTIFS(Olympiade_4!$B:$B, $B27, Olympiade_4!$A:$A,2)+COUNTIFS(Olympiade_5!$B:$B, $B27, Olympiade_5!$A:$A,2)+COUNTIFS(Olympiade_6!$B:$B, $B27, Olympiade_6!$A:$A,2)+COUNTIFS(Olympiade_7!$B:$B, $B27, Olympiade_7!$A:$A,2)+COUNTIFS(Olympiade_8!$B:$B, $B27, Olympiade_8!$A:$A,2)</f>
        <v>0</v>
      </c>
      <c r="Q27" s="5" t="n">
        <f aca="false">COUNTIFS(Olympiade_1!$B:$B, $B27, Olympiade_1!$A:$A,3)+COUNTIFS(Olympiade_2!$B:$B, $B27, Olympiade_2!$A:$A,3)+COUNTIFS(Olympiade_3!$B:$B, $B27, Olympiade_3!$A:$A,3)+COUNTIFS(Olympiade_4!$B:$B, $B27, Olympiade_4!$A:$A,3)+COUNTIFS(Olympiade_5!$B:$B, $B27, Olympiade_5!$A:$A,3)+COUNTIFS(Olympiade_6!$B:$B, $B27, Olympiade_6!$A:$A,3)+COUNTIFS(Olympiade_7!$B:$B, $B27, Olympiade_7!$A:$A,3)+COUNTIFS(Olympiade_8!$B:$B, $B27, Olympiade_8!$A:$A,3)</f>
        <v>0</v>
      </c>
      <c r="R27" s="5" t="n">
        <f aca="false">SUM(O27,P27,Q27)</f>
        <v>0</v>
      </c>
      <c r="S27" s="5" t="n">
        <f aca="false">SUM(C27,G27,K27,O27)</f>
        <v>0</v>
      </c>
      <c r="T27" s="5" t="n">
        <f aca="false">SUM(D27,H27,L27,P27)</f>
        <v>0</v>
      </c>
      <c r="U27" s="5" t="n">
        <f aca="false">SUM(E27,I27,M27,Q27)</f>
        <v>3</v>
      </c>
      <c r="V27" s="5" t="n">
        <f aca="false">SUM(S27,T27,U27)</f>
        <v>3</v>
      </c>
      <c r="W27" s="5" t="n">
        <f aca="false">SUMIFS(Database!B:B,Database!A:A,B27) + SUMIFS(Database!F:F,Database!A:A,B27)</f>
        <v>90</v>
      </c>
      <c r="X27" s="5" t="e">
        <f aca="false" t="array" ref="X27:X27">AVERAGE(xlookup(B27, Database!K:K, Database!L:N,NA()))</f>
        <v>#N/A</v>
      </c>
    </row>
    <row r="28" customFormat="false" ht="15.75" hidden="false" customHeight="true" outlineLevel="0" collapsed="false">
      <c r="A28" s="5" t="n">
        <v>27</v>
      </c>
      <c r="B28" s="5" t="s">
        <v>32</v>
      </c>
      <c r="C28" s="5" t="n">
        <f aca="false">COUNTIFS(Olympiade_1!$B:$B,$B28,Olympiade_1!$F:$F,1)+COUNTIFS(Olympiade_2!$B:$B,$B28,Olympiade_2!$F:$F,1)+COUNTIFS(Olympiade_3!$B:$B,$B28,Olympiade_3!$F:$F,1)+COUNTIFS(Olympiade_4!$B:$B,$B28,Olympiade_4!$F:$F,1)+COUNTIFS(Olympiade_5!$B:$B,$B28,Olympiade_5!$F:$F,1)+COUNTIFS(Olympiade_6!$B:$B,$B28,Olympiade_6!$F:$F,1)+COUNTIFS(Olympiade_7!$B:$B,$B28,Olympiade_7!$F:$F,1)+COUNTIFS(Olympiade_8!$B:$B,$B28,Olympiade_8!$F:$F,1)</f>
        <v>0</v>
      </c>
      <c r="D28" s="5" t="n">
        <f aca="false">COUNTIFS(Olympiade_1!$B:$B, $B28, Olympiade_1!$F:$F,2)+COUNTIFS(Olympiade_2!$B:$B, $B28, Olympiade_2!$F:$F,2)+COUNTIFS(Olympiade_3!$B:$B, $B28, Olympiade_3!$F:$F,2)+COUNTIFS(Olympiade_4!$B:$B, $B28, Olympiade_4!$F:$F,2)+COUNTIFS(Olympiade_5!$B:$B, $B28, Olympiade_5!$F:$F,2)+COUNTIFS(Olympiade_6!$B:$B, $B28, Olympiade_6!$F:$F,2)+COUNTIFS(Olympiade_7!$B:$B, $B28, Olympiade_7!$F:$F,2)+COUNTIFS(Olympiade_8!$B:$B, $B28, Olympiade_8!$F:$F,2)</f>
        <v>0</v>
      </c>
      <c r="E28" s="5" t="n">
        <f aca="false">COUNTIFS(Olympiade_1!$B:$B, $B28, Olympiade_1!$F:$F,3)+COUNTIFS(Olympiade_2!$B:$B, $B28, Olympiade_2!$F:$F,3)+COUNTIFS(Olympiade_3!$B:$B, $B28, Olympiade_3!$F:$F,3)+COUNTIFS(Olympiade_4!$B:$B, $B28, Olympiade_4!$F:$F,3)+COUNTIFS(Olympiade_5!$B:$B, $B28, Olympiade_5!$F:$F,3)+COUNTIFS(Olympiade_6!$B:$B, $B28, Olympiade_6!$F:$F,3)+COUNTIFS(Olympiade_7!$B:$B, $B28, Olympiade_7!$F:$F,3)+COUNTIFS(Olympiade_8!$B:$B, $B28, Olympiade_8!$F:$F,3)</f>
        <v>1</v>
      </c>
      <c r="F28" s="5" t="n">
        <f aca="false">SUM(C28,D28,E28)</f>
        <v>1</v>
      </c>
      <c r="G28" s="5" t="n">
        <f aca="false">COUNTIFS(Olympiade_1!$B:$B, $B28, Olympiade_1!$G:$G,1)+COUNTIFS(Olympiade_2!$B:$B, $B28, Olympiade_2!$G:$G,1)+COUNTIFS(Olympiade_3!$B:$B, $B28, Olympiade_3!$G:$G,1)+COUNTIFS(Olympiade_4!$B:$B, $B28, Olympiade_4!$G:$G,1)+COUNTIFS(Olympiade_5!$B:$B, $B28, Olympiade_5!$G:$G,1)+COUNTIFS(Olympiade_6!$B:$B, $B28, Olympiade_6!$G:$G,1)+COUNTIFS(Olympiade_7!$B:$B, $B28, Olympiade_7!$G:$G,1)+COUNTIFS(Olympiade_8!$B:$B, $B28, Olympiade_8!$G:$G,1)</f>
        <v>0</v>
      </c>
      <c r="H28" s="5" t="n">
        <f aca="false">COUNTIFS(Olympiade_1!$B:$B, $B28, Olympiade_1!$G:$G,2)+COUNTIFS(Olympiade_2!$B:$B, $B28, Olympiade_2!$G:$G,2)+COUNTIFS(Olympiade_3!$B:$B, $B28, Olympiade_3!$G:$G,2)+COUNTIFS(Olympiade_4!$B:$B, $B28, Olympiade_4!$G:$G,2)+COUNTIFS(Olympiade_5!$B:$B, $B28, Olympiade_5!$G:$G,2)+COUNTIFS(Olympiade_6!$B:$B, $B28, Olympiade_6!$G:$G,2)+COUNTIFS(Olympiade_7!$B:$B, $B28, Olympiade_7!$G:$G,2)+COUNTIFS(Olympiade_8!$B:$B, $B28, Olympiade_8!$G:$G,2)</f>
        <v>0</v>
      </c>
      <c r="I28" s="5" t="n">
        <f aca="false">COUNTIFS(Olympiade_1!$B:$B, $B28, Olympiade_1!$G:$G,3)+COUNTIFS(Olympiade_2!$B:$B, $B28, Olympiade_2!$G:$G,3)+COUNTIFS(Olympiade_3!$B:$B, $B28, Olympiade_3!$G:$G,3)+COUNTIFS(Olympiade_4!$B:$B, $B28, Olympiade_4!$G:$G,3)+COUNTIFS(Olympiade_5!$B:$B, $B28, Olympiade_5!$G:$G,3)+COUNTIFS(Olympiade_6!$B:$B, $B28, Olympiade_6!$G:$G,3)+COUNTIFS(Olympiade_7!$B:$B, $B28, Olympiade_7!$G:$G,3)+COUNTIFS(Olympiade_8!$B:$B, $B28, Olympiade_8!$G:$G,3)</f>
        <v>1</v>
      </c>
      <c r="J28" s="5" t="n">
        <f aca="false">SUM(G28,H28,I28)</f>
        <v>1</v>
      </c>
      <c r="K28" s="5" t="n">
        <f aca="false">COUNTIFS(Olympiade_1!$B:$B, $B28, Olympiade_1!$H:$H,1)+COUNTIFS(Olympiade_2!$B:$B, $B28, Olympiade_2!$H:$H,1)+COUNTIFS(Olympiade_3!$B:$B, $B28, Olympiade_3!$H:$H,1)+COUNTIFS(Olympiade_4!$B:$B, $B28, Olympiade_4!$H:$H,1)+COUNTIFS(Olympiade_5!$B:$B, $B28, Olympiade_5!$H:$H,1)+COUNTIFS(Olympiade_6!$B:$B, $B28, Olympiade_6!$H:$H,1)+COUNTIFS(Olympiade_7!$B:$B, $B28, Olympiade_7!$H:$H,1)+COUNTIFS(Olympiade_8!$B:$B, $B28, Olympiade_8!$H:$H,1)</f>
        <v>0</v>
      </c>
      <c r="L28" s="5" t="n">
        <f aca="false">COUNTIFS(Olympiade_1!$B:$B, $B28, Olympiade_1!$H:$H,2)+COUNTIFS(Olympiade_2!$B:$B, $B28, Olympiade_2!$H:$H,2)+COUNTIFS(Olympiade_3!$B:$B, $B28, Olympiade_3!$H:$H,2)+COUNTIFS(Olympiade_4!$B:$B, $B28, Olympiade_4!$H:$H,2)+COUNTIFS(Olympiade_5!$B:$B, $B28, Olympiade_5!$H:$H,2)+COUNTIFS(Olympiade_6!$B:$B, $B28, Olympiade_6!$H:$H,2)+COUNTIFS(Olympiade_7!$B:$B, $B28, Olympiade_7!$H:$H,2)+COUNTIFS(Olympiade_8!$B:$B, $B28, Olympiade_8!$H:$H,2)</f>
        <v>0</v>
      </c>
      <c r="M28" s="5" t="n">
        <f aca="false">COUNTIFS(Olympiade_1!$B:$B, $B28, Olympiade_1!$H:$H,3)+COUNTIFS(Olympiade_2!$B:$B, $B28, Olympiade_2!$H:$H,3)+COUNTIFS(Olympiade_3!$B:$B, $B28, Olympiade_3!$H:$H,3)+COUNTIFS(Olympiade_4!$B:$B, $B28, Olympiade_4!$H:$H,3)+COUNTIFS(Olympiade_5!$B:$B, $B28, Olympiade_5!$H:$H,3)+COUNTIFS(Olympiade_6!$B:$B, $B28, Olympiade_6!$H:$H,3)+COUNTIFS(Olympiade_7!$B:$B, $B28, Olympiade_7!$H:$H,3)+COUNTIFS(Olympiade_8!$B:$B, $B28, Olympiade_8!$H:$H,3)</f>
        <v>0</v>
      </c>
      <c r="N28" s="5" t="n">
        <f aca="false">SUM(K28,L28,M28)</f>
        <v>0</v>
      </c>
      <c r="O28" s="5" t="n">
        <f aca="false">COUNTIFS(Olympiade_1!$B:$B, $B28, Olympiade_1!$A:$A,1)+COUNTIFS(Olympiade_2!$B:$B, $B28, Olympiade_2!$A:$A,1)+COUNTIFS(Olympiade_3!$B:$B, $B28, Olympiade_3!$A:$A,1)+COUNTIFS(Olympiade_4!$B:$B, $B28, Olympiade_4!$A:$A,1)+COUNTIFS(Olympiade_5!$B:$B, $B28, Olympiade_5!$A:$A,1)+COUNTIFS(Olympiade_6!$B:$B, $B28, Olympiade_6!$A:$A,1)+COUNTIFS(Olympiade_7!$B:$B, $B28, Olympiade_7!$A:$A,1)+COUNTIFS(Olympiade_8!$B:$B, $B28, Olympiade_8!$A:$A,1)</f>
        <v>0</v>
      </c>
      <c r="P28" s="5" t="n">
        <f aca="false">COUNTIFS(Olympiade_1!$B:$B, $B28, Olympiade_1!$A:$A,2)+COUNTIFS(Olympiade_2!$B:$B, $B28, Olympiade_2!$A:$A,2)+COUNTIFS(Olympiade_3!$B:$B, $B28, Olympiade_3!$A:$A,2)+COUNTIFS(Olympiade_4!$B:$B, $B28, Olympiade_4!$A:$A,2)+COUNTIFS(Olympiade_5!$B:$B, $B28, Olympiade_5!$A:$A,2)+COUNTIFS(Olympiade_6!$B:$B, $B28, Olympiade_6!$A:$A,2)+COUNTIFS(Olympiade_7!$B:$B, $B28, Olympiade_7!$A:$A,2)+COUNTIFS(Olympiade_8!$B:$B, $B28, Olympiade_8!$A:$A,2)</f>
        <v>0</v>
      </c>
      <c r="Q28" s="5" t="n">
        <f aca="false">COUNTIFS(Olympiade_1!$B:$B, $B28, Olympiade_1!$A:$A,3)+COUNTIFS(Olympiade_2!$B:$B, $B28, Olympiade_2!$A:$A,3)+COUNTIFS(Olympiade_3!$B:$B, $B28, Olympiade_3!$A:$A,3)+COUNTIFS(Olympiade_4!$B:$B, $B28, Olympiade_4!$A:$A,3)+COUNTIFS(Olympiade_5!$B:$B, $B28, Olympiade_5!$A:$A,3)+COUNTIFS(Olympiade_6!$B:$B, $B28, Olympiade_6!$A:$A,3)+COUNTIFS(Olympiade_7!$B:$B, $B28, Olympiade_7!$A:$A,3)+COUNTIFS(Olympiade_8!$B:$B, $B28, Olympiade_8!$A:$A,3)</f>
        <v>0</v>
      </c>
      <c r="R28" s="5" t="n">
        <f aca="false">SUM(O28,P28,Q28)</f>
        <v>0</v>
      </c>
      <c r="S28" s="5" t="n">
        <f aca="false">SUM(C28,G28,K28,O28)</f>
        <v>0</v>
      </c>
      <c r="T28" s="5" t="n">
        <f aca="false">SUM(D28,H28,L28,P28)</f>
        <v>0</v>
      </c>
      <c r="U28" s="5" t="n">
        <f aca="false">SUM(E28,I28,M28,Q28)</f>
        <v>2</v>
      </c>
      <c r="V28" s="5" t="n">
        <f aca="false">SUM(S28,T28,U28)</f>
        <v>2</v>
      </c>
      <c r="W28" s="5" t="n">
        <f aca="false">SUMIFS(Database!B:B,Database!A:A,B28) + SUMIFS(Database!F:F,Database!A:A,B28)</f>
        <v>50</v>
      </c>
      <c r="X28" s="5" t="e">
        <f aca="false" t="array" ref="X28:X28">AVERAGE(xlookup(B28, Database!K:K, Database!L:N,NA()))</f>
        <v>#N/A</v>
      </c>
    </row>
    <row r="29" customFormat="false" ht="15.75" hidden="false" customHeight="true" outlineLevel="0" collapsed="false">
      <c r="A29" s="5" t="n">
        <v>28</v>
      </c>
      <c r="B29" s="5" t="s">
        <v>33</v>
      </c>
      <c r="C29" s="5" t="n">
        <f aca="false">COUNTIFS(Olympiade_1!$B:$B,$B29,Olympiade_1!$F:$F,1)+COUNTIFS(Olympiade_2!$B:$B,$B29,Olympiade_2!$F:$F,1)+COUNTIFS(Olympiade_3!$B:$B,$B29,Olympiade_3!$F:$F,1)+COUNTIFS(Olympiade_4!$B:$B,$B29,Olympiade_4!$F:$F,1)+COUNTIFS(Olympiade_5!$B:$B,$B29,Olympiade_5!$F:$F,1)+COUNTIFS(Olympiade_6!$B:$B,$B29,Olympiade_6!$F:$F,1)+COUNTIFS(Olympiade_7!$B:$B,$B29,Olympiade_7!$F:$F,1)+COUNTIFS(Olympiade_8!$B:$B,$B29,Olympiade_8!$F:$F,1)</f>
        <v>0</v>
      </c>
      <c r="D29" s="5" t="n">
        <f aca="false">COUNTIFS(Olympiade_1!$B:$B, $B29, Olympiade_1!$F:$F,2)+COUNTIFS(Olympiade_2!$B:$B, $B29, Olympiade_2!$F:$F,2)+COUNTIFS(Olympiade_3!$B:$B, $B29, Olympiade_3!$F:$F,2)+COUNTIFS(Olympiade_4!$B:$B, $B29, Olympiade_4!$F:$F,2)+COUNTIFS(Olympiade_5!$B:$B, $B29, Olympiade_5!$F:$F,2)+COUNTIFS(Olympiade_6!$B:$B, $B29, Olympiade_6!$F:$F,2)+COUNTIFS(Olympiade_7!$B:$B, $B29, Olympiade_7!$F:$F,2)+COUNTIFS(Olympiade_8!$B:$B, $B29, Olympiade_8!$F:$F,2)</f>
        <v>0</v>
      </c>
      <c r="E29" s="5" t="n">
        <f aca="false">COUNTIFS(Olympiade_1!$B:$B, $B29, Olympiade_1!$F:$F,3)+COUNTIFS(Olympiade_2!$B:$B, $B29, Olympiade_2!$F:$F,3)+COUNTIFS(Olympiade_3!$B:$B, $B29, Olympiade_3!$F:$F,3)+COUNTIFS(Olympiade_4!$B:$B, $B29, Olympiade_4!$F:$F,3)+COUNTIFS(Olympiade_5!$B:$B, $B29, Olympiade_5!$F:$F,3)+COUNTIFS(Olympiade_6!$B:$B, $B29, Olympiade_6!$F:$F,3)+COUNTIFS(Olympiade_7!$B:$B, $B29, Olympiade_7!$F:$F,3)+COUNTIFS(Olympiade_8!$B:$B, $B29, Olympiade_8!$F:$F,3)</f>
        <v>1</v>
      </c>
      <c r="F29" s="5" t="n">
        <f aca="false">SUM(C29,D29,E29)</f>
        <v>1</v>
      </c>
      <c r="G29" s="5" t="n">
        <f aca="false">COUNTIFS(Olympiade_1!$B:$B, $B29, Olympiade_1!$G:$G,1)+COUNTIFS(Olympiade_2!$B:$B, $B29, Olympiade_2!$G:$G,1)+COUNTIFS(Olympiade_3!$B:$B, $B29, Olympiade_3!$G:$G,1)+COUNTIFS(Olympiade_4!$B:$B, $B29, Olympiade_4!$G:$G,1)+COUNTIFS(Olympiade_5!$B:$B, $B29, Olympiade_5!$G:$G,1)+COUNTIFS(Olympiade_6!$B:$B, $B29, Olympiade_6!$G:$G,1)+COUNTIFS(Olympiade_7!$B:$B, $B29, Olympiade_7!$G:$G,1)+COUNTIFS(Olympiade_8!$B:$B, $B29, Olympiade_8!$G:$G,1)</f>
        <v>0</v>
      </c>
      <c r="H29" s="5" t="n">
        <f aca="false">COUNTIFS(Olympiade_1!$B:$B, $B29, Olympiade_1!$G:$G,2)+COUNTIFS(Olympiade_2!$B:$B, $B29, Olympiade_2!$G:$G,2)+COUNTIFS(Olympiade_3!$B:$B, $B29, Olympiade_3!$G:$G,2)+COUNTIFS(Olympiade_4!$B:$B, $B29, Olympiade_4!$G:$G,2)+COUNTIFS(Olympiade_5!$B:$B, $B29, Olympiade_5!$G:$G,2)+COUNTIFS(Olympiade_6!$B:$B, $B29, Olympiade_6!$G:$G,2)+COUNTIFS(Olympiade_7!$B:$B, $B29, Olympiade_7!$G:$G,2)+COUNTIFS(Olympiade_8!$B:$B, $B29, Olympiade_8!$G:$G,2)</f>
        <v>0</v>
      </c>
      <c r="I29" s="5" t="n">
        <f aca="false">COUNTIFS(Olympiade_1!$B:$B, $B29, Olympiade_1!$G:$G,3)+COUNTIFS(Olympiade_2!$B:$B, $B29, Olympiade_2!$G:$G,3)+COUNTIFS(Olympiade_3!$B:$B, $B29, Olympiade_3!$G:$G,3)+COUNTIFS(Olympiade_4!$B:$B, $B29, Olympiade_4!$G:$G,3)+COUNTIFS(Olympiade_5!$B:$B, $B29, Olympiade_5!$G:$G,3)+COUNTIFS(Olympiade_6!$B:$B, $B29, Olympiade_6!$G:$G,3)+COUNTIFS(Olympiade_7!$B:$B, $B29, Olympiade_7!$G:$G,3)+COUNTIFS(Olympiade_8!$B:$B, $B29, Olympiade_8!$G:$G,3)</f>
        <v>1</v>
      </c>
      <c r="J29" s="5" t="n">
        <f aca="false">SUM(G29,H29,I29)</f>
        <v>1</v>
      </c>
      <c r="K29" s="5" t="n">
        <f aca="false">COUNTIFS(Olympiade_1!$B:$B, $B29, Olympiade_1!$H:$H,1)+COUNTIFS(Olympiade_2!$B:$B, $B29, Olympiade_2!$H:$H,1)+COUNTIFS(Olympiade_3!$B:$B, $B29, Olympiade_3!$H:$H,1)+COUNTIFS(Olympiade_4!$B:$B, $B29, Olympiade_4!$H:$H,1)+COUNTIFS(Olympiade_5!$B:$B, $B29, Olympiade_5!$H:$H,1)+COUNTIFS(Olympiade_6!$B:$B, $B29, Olympiade_6!$H:$H,1)+COUNTIFS(Olympiade_7!$B:$B, $B29, Olympiade_7!$H:$H,1)+COUNTIFS(Olympiade_8!$B:$B, $B29, Olympiade_8!$H:$H,1)</f>
        <v>0</v>
      </c>
      <c r="L29" s="5" t="n">
        <f aca="false">COUNTIFS(Olympiade_1!$B:$B, $B29, Olympiade_1!$H:$H,2)+COUNTIFS(Olympiade_2!$B:$B, $B29, Olympiade_2!$H:$H,2)+COUNTIFS(Olympiade_3!$B:$B, $B29, Olympiade_3!$H:$H,2)+COUNTIFS(Olympiade_4!$B:$B, $B29, Olympiade_4!$H:$H,2)+COUNTIFS(Olympiade_5!$B:$B, $B29, Olympiade_5!$H:$H,2)+COUNTIFS(Olympiade_6!$B:$B, $B29, Olympiade_6!$H:$H,2)+COUNTIFS(Olympiade_7!$B:$B, $B29, Olympiade_7!$H:$H,2)+COUNTIFS(Olympiade_8!$B:$B, $B29, Olympiade_8!$H:$H,2)</f>
        <v>0</v>
      </c>
      <c r="M29" s="5" t="n">
        <f aca="false">COUNTIFS(Olympiade_1!$B:$B, $B29, Olympiade_1!$H:$H,3)+COUNTIFS(Olympiade_2!$B:$B, $B29, Olympiade_2!$H:$H,3)+COUNTIFS(Olympiade_3!$B:$B, $B29, Olympiade_3!$H:$H,3)+COUNTIFS(Olympiade_4!$B:$B, $B29, Olympiade_4!$H:$H,3)+COUNTIFS(Olympiade_5!$B:$B, $B29, Olympiade_5!$H:$H,3)+COUNTIFS(Olympiade_6!$B:$B, $B29, Olympiade_6!$H:$H,3)+COUNTIFS(Olympiade_7!$B:$B, $B29, Olympiade_7!$H:$H,3)+COUNTIFS(Olympiade_8!$B:$B, $B29, Olympiade_8!$H:$H,3)</f>
        <v>0</v>
      </c>
      <c r="N29" s="5" t="n">
        <f aca="false">SUM(K29,L29,M29)</f>
        <v>0</v>
      </c>
      <c r="O29" s="5" t="n">
        <f aca="false">COUNTIFS(Olympiade_1!$B:$B, $B29, Olympiade_1!$A:$A,1)+COUNTIFS(Olympiade_2!$B:$B, $B29, Olympiade_2!$A:$A,1)+COUNTIFS(Olympiade_3!$B:$B, $B29, Olympiade_3!$A:$A,1)+COUNTIFS(Olympiade_4!$B:$B, $B29, Olympiade_4!$A:$A,1)+COUNTIFS(Olympiade_5!$B:$B, $B29, Olympiade_5!$A:$A,1)+COUNTIFS(Olympiade_6!$B:$B, $B29, Olympiade_6!$A:$A,1)+COUNTIFS(Olympiade_7!$B:$B, $B29, Olympiade_7!$A:$A,1)+COUNTIFS(Olympiade_8!$B:$B, $B29, Olympiade_8!$A:$A,1)</f>
        <v>0</v>
      </c>
      <c r="P29" s="5" t="n">
        <f aca="false">COUNTIFS(Olympiade_1!$B:$B, $B29, Olympiade_1!$A:$A,2)+COUNTIFS(Olympiade_2!$B:$B, $B29, Olympiade_2!$A:$A,2)+COUNTIFS(Olympiade_3!$B:$B, $B29, Olympiade_3!$A:$A,2)+COUNTIFS(Olympiade_4!$B:$B, $B29, Olympiade_4!$A:$A,2)+COUNTIFS(Olympiade_5!$B:$B, $B29, Olympiade_5!$A:$A,2)+COUNTIFS(Olympiade_6!$B:$B, $B29, Olympiade_6!$A:$A,2)+COUNTIFS(Olympiade_7!$B:$B, $B29, Olympiade_7!$A:$A,2)+COUNTIFS(Olympiade_8!$B:$B, $B29, Olympiade_8!$A:$A,2)</f>
        <v>0</v>
      </c>
      <c r="Q29" s="5" t="n">
        <f aca="false">COUNTIFS(Olympiade_1!$B:$B, $B29, Olympiade_1!$A:$A,3)+COUNTIFS(Olympiade_2!$B:$B, $B29, Olympiade_2!$A:$A,3)+COUNTIFS(Olympiade_3!$B:$B, $B29, Olympiade_3!$A:$A,3)+COUNTIFS(Olympiade_4!$B:$B, $B29, Olympiade_4!$A:$A,3)+COUNTIFS(Olympiade_5!$B:$B, $B29, Olympiade_5!$A:$A,3)+COUNTIFS(Olympiade_6!$B:$B, $B29, Olympiade_6!$A:$A,3)+COUNTIFS(Olympiade_7!$B:$B, $B29, Olympiade_7!$A:$A,3)+COUNTIFS(Olympiade_8!$B:$B, $B29, Olympiade_8!$A:$A,3)</f>
        <v>0</v>
      </c>
      <c r="R29" s="5" t="n">
        <f aca="false">SUM(O29,P29,Q29)</f>
        <v>0</v>
      </c>
      <c r="S29" s="5" t="n">
        <f aca="false">SUM(C29,G29,K29,O29)</f>
        <v>0</v>
      </c>
      <c r="T29" s="5" t="n">
        <f aca="false">SUM(D29,H29,L29,P29)</f>
        <v>0</v>
      </c>
      <c r="U29" s="5" t="n">
        <f aca="false">SUM(E29,I29,M29,Q29)</f>
        <v>2</v>
      </c>
      <c r="V29" s="5" t="n">
        <f aca="false">SUM(S29,T29,U29)</f>
        <v>2</v>
      </c>
      <c r="W29" s="5" t="n">
        <f aca="false">SUMIFS(Database!B:B,Database!A:A,B29) + SUMIFS(Database!F:F,Database!A:A,B29)</f>
        <v>50</v>
      </c>
      <c r="X29" s="5" t="e">
        <f aca="false" t="array" ref="X29:X29">AVERAGE(xlookup(B29, Database!K:K, Database!L:N,NA()))</f>
        <v>#N/A</v>
      </c>
    </row>
    <row r="30" customFormat="false" ht="15.75" hidden="false" customHeight="true" outlineLevel="0" collapsed="false">
      <c r="A30" s="5" t="n">
        <v>29</v>
      </c>
      <c r="B30" s="1" t="s">
        <v>34</v>
      </c>
      <c r="C30" s="5" t="n">
        <f aca="false">COUNTIFS(Olympiade_1!$B:$B,$B30,Olympiade_1!$F:$F,1)+COUNTIFS(Olympiade_2!$B:$B,$B30,Olympiade_2!$F:$F,1)+COUNTIFS(Olympiade_3!$B:$B,$B30,Olympiade_3!$F:$F,1)+COUNTIFS(Olympiade_4!$B:$B,$B30,Olympiade_4!$F:$F,1)+COUNTIFS(Olympiade_5!$B:$B,$B30,Olympiade_5!$F:$F,1)+COUNTIFS(Olympiade_6!$B:$B,$B30,Olympiade_6!$F:$F,1)+COUNTIFS(Olympiade_7!$B:$B,$B30,Olympiade_7!$F:$F,1)+COUNTIFS(Olympiade_8!$B:$B,$B30,Olympiade_8!$F:$F,1)</f>
        <v>0</v>
      </c>
      <c r="D30" s="5" t="n">
        <f aca="false">COUNTIFS(Olympiade_1!$B:$B, $B30, Olympiade_1!$F:$F,2)+COUNTIFS(Olympiade_2!$B:$B, $B30, Olympiade_2!$F:$F,2)+COUNTIFS(Olympiade_3!$B:$B, $B30, Olympiade_3!$F:$F,2)+COUNTIFS(Olympiade_4!$B:$B, $B30, Olympiade_4!$F:$F,2)+COUNTIFS(Olympiade_5!$B:$B, $B30, Olympiade_5!$F:$F,2)+COUNTIFS(Olympiade_6!$B:$B, $B30, Olympiade_6!$F:$F,2)+COUNTIFS(Olympiade_7!$B:$B, $B30, Olympiade_7!$F:$F,2)+COUNTIFS(Olympiade_8!$B:$B, $B30, Olympiade_8!$F:$F,2)</f>
        <v>0</v>
      </c>
      <c r="E30" s="5" t="n">
        <f aca="false">COUNTIFS(Olympiade_1!$B:$B, $B30, Olympiade_1!$F:$F,3)+COUNTIFS(Olympiade_2!$B:$B, $B30, Olympiade_2!$F:$F,3)+COUNTIFS(Olympiade_3!$B:$B, $B30, Olympiade_3!$F:$F,3)+COUNTIFS(Olympiade_4!$B:$B, $B30, Olympiade_4!$F:$F,3)+COUNTIFS(Olympiade_5!$B:$B, $B30, Olympiade_5!$F:$F,3)+COUNTIFS(Olympiade_6!$B:$B, $B30, Olympiade_6!$F:$F,3)+COUNTIFS(Olympiade_7!$B:$B, $B30, Olympiade_7!$F:$F,3)+COUNTIFS(Olympiade_8!$B:$B, $B30, Olympiade_8!$F:$F,3)</f>
        <v>0</v>
      </c>
      <c r="F30" s="5" t="n">
        <f aca="false">SUM(C30,D30,E30)</f>
        <v>0</v>
      </c>
      <c r="G30" s="5" t="n">
        <f aca="false">COUNTIFS(Olympiade_1!$B:$B, $B30, Olympiade_1!$G:$G,1)+COUNTIFS(Olympiade_2!$B:$B, $B30, Olympiade_2!$G:$G,1)+COUNTIFS(Olympiade_3!$B:$B, $B30, Olympiade_3!$G:$G,1)+COUNTIFS(Olympiade_4!$B:$B, $B30, Olympiade_4!$G:$G,1)+COUNTIFS(Olympiade_5!$B:$B, $B30, Olympiade_5!$G:$G,1)+COUNTIFS(Olympiade_6!$B:$B, $B30, Olympiade_6!$G:$G,1)+COUNTIFS(Olympiade_7!$B:$B, $B30, Olympiade_7!$G:$G,1)+COUNTIFS(Olympiade_8!$B:$B, $B30, Olympiade_8!$G:$G,1)</f>
        <v>0</v>
      </c>
      <c r="H30" s="5" t="n">
        <f aca="false">COUNTIFS(Olympiade_1!$B:$B, $B30, Olympiade_1!$G:$G,2)+COUNTIFS(Olympiade_2!$B:$B, $B30, Olympiade_2!$G:$G,2)+COUNTIFS(Olympiade_3!$B:$B, $B30, Olympiade_3!$G:$G,2)+COUNTIFS(Olympiade_4!$B:$B, $B30, Olympiade_4!$G:$G,2)+COUNTIFS(Olympiade_5!$B:$B, $B30, Olympiade_5!$G:$G,2)+COUNTIFS(Olympiade_6!$B:$B, $B30, Olympiade_6!$G:$G,2)+COUNTIFS(Olympiade_7!$B:$B, $B30, Olympiade_7!$G:$G,2)+COUNTIFS(Olympiade_8!$B:$B, $B30, Olympiade_8!$G:$G,2)</f>
        <v>0</v>
      </c>
      <c r="I30" s="5" t="n">
        <f aca="false">COUNTIFS(Olympiade_1!$B:$B, $B30, Olympiade_1!$G:$G,3)+COUNTIFS(Olympiade_2!$B:$B, $B30, Olympiade_2!$G:$G,3)+COUNTIFS(Olympiade_3!$B:$B, $B30, Olympiade_3!$G:$G,3)+COUNTIFS(Olympiade_4!$B:$B, $B30, Olympiade_4!$G:$G,3)+COUNTIFS(Olympiade_5!$B:$B, $B30, Olympiade_5!$G:$G,3)+COUNTIFS(Olympiade_6!$B:$B, $B30, Olympiade_6!$G:$G,3)+COUNTIFS(Olympiade_7!$B:$B, $B30, Olympiade_7!$G:$G,3)+COUNTIFS(Olympiade_8!$B:$B, $B30, Olympiade_8!$G:$G,3)</f>
        <v>1</v>
      </c>
      <c r="J30" s="5" t="n">
        <f aca="false">SUM(G30,H30,I30)</f>
        <v>1</v>
      </c>
      <c r="K30" s="5" t="n">
        <f aca="false">COUNTIFS(Olympiade_1!$B:$B, $B30, Olympiade_1!$H:$H,1)+COUNTIFS(Olympiade_2!$B:$B, $B30, Olympiade_2!$H:$H,1)+COUNTIFS(Olympiade_3!$B:$B, $B30, Olympiade_3!$H:$H,1)+COUNTIFS(Olympiade_4!$B:$B, $B30, Olympiade_4!$H:$H,1)+COUNTIFS(Olympiade_5!$B:$B, $B30, Olympiade_5!$H:$H,1)+COUNTIFS(Olympiade_6!$B:$B, $B30, Olympiade_6!$H:$H,1)+COUNTIFS(Olympiade_7!$B:$B, $B30, Olympiade_7!$H:$H,1)+COUNTIFS(Olympiade_8!$B:$B, $B30, Olympiade_8!$H:$H,1)</f>
        <v>0</v>
      </c>
      <c r="L30" s="5" t="n">
        <f aca="false">COUNTIFS(Olympiade_1!$B:$B, $B30, Olympiade_1!$H:$H,2)+COUNTIFS(Olympiade_2!$B:$B, $B30, Olympiade_2!$H:$H,2)+COUNTIFS(Olympiade_3!$B:$B, $B30, Olympiade_3!$H:$H,2)+COUNTIFS(Olympiade_4!$B:$B, $B30, Olympiade_4!$H:$H,2)+COUNTIFS(Olympiade_5!$B:$B, $B30, Olympiade_5!$H:$H,2)+COUNTIFS(Olympiade_6!$B:$B, $B30, Olympiade_6!$H:$H,2)+COUNTIFS(Olympiade_7!$B:$B, $B30, Olympiade_7!$H:$H,2)+COUNTIFS(Olympiade_8!$B:$B, $B30, Olympiade_8!$H:$H,2)</f>
        <v>0</v>
      </c>
      <c r="M30" s="5" t="n">
        <f aca="false">COUNTIFS(Olympiade_1!$B:$B, $B30, Olympiade_1!$H:$H,3)+COUNTIFS(Olympiade_2!$B:$B, $B30, Olympiade_2!$H:$H,3)+COUNTIFS(Olympiade_3!$B:$B, $B30, Olympiade_3!$H:$H,3)+COUNTIFS(Olympiade_4!$B:$B, $B30, Olympiade_4!$H:$H,3)+COUNTIFS(Olympiade_5!$B:$B, $B30, Olympiade_5!$H:$H,3)+COUNTIFS(Olympiade_6!$B:$B, $B30, Olympiade_6!$H:$H,3)+COUNTIFS(Olympiade_7!$B:$B, $B30, Olympiade_7!$H:$H,3)+COUNTIFS(Olympiade_8!$B:$B, $B30, Olympiade_8!$H:$H,3)</f>
        <v>0</v>
      </c>
      <c r="N30" s="5" t="n">
        <f aca="false">SUM(K30,L30,M30)</f>
        <v>0</v>
      </c>
      <c r="O30" s="5" t="n">
        <f aca="false">COUNTIFS(Olympiade_1!$B:$B, $B30, Olympiade_1!$A:$A,1)+COUNTIFS(Olympiade_2!$B:$B, $B30, Olympiade_2!$A:$A,1)+COUNTIFS(Olympiade_3!$B:$B, $B30, Olympiade_3!$A:$A,1)+COUNTIFS(Olympiade_4!$B:$B, $B30, Olympiade_4!$A:$A,1)+COUNTIFS(Olympiade_5!$B:$B, $B30, Olympiade_5!$A:$A,1)+COUNTIFS(Olympiade_6!$B:$B, $B30, Olympiade_6!$A:$A,1)+COUNTIFS(Olympiade_7!$B:$B, $B30, Olympiade_7!$A:$A,1)+COUNTIFS(Olympiade_8!$B:$B, $B30, Olympiade_8!$A:$A,1)</f>
        <v>0</v>
      </c>
      <c r="P30" s="5" t="n">
        <f aca="false">COUNTIFS(Olympiade_1!$B:$B, $B30, Olympiade_1!$A:$A,2)+COUNTIFS(Olympiade_2!$B:$B, $B30, Olympiade_2!$A:$A,2)+COUNTIFS(Olympiade_3!$B:$B, $B30, Olympiade_3!$A:$A,2)+COUNTIFS(Olympiade_4!$B:$B, $B30, Olympiade_4!$A:$A,2)+COUNTIFS(Olympiade_5!$B:$B, $B30, Olympiade_5!$A:$A,2)+COUNTIFS(Olympiade_6!$B:$B, $B30, Olympiade_6!$A:$A,2)+COUNTIFS(Olympiade_7!$B:$B, $B30, Olympiade_7!$A:$A,2)+COUNTIFS(Olympiade_8!$B:$B, $B30, Olympiade_8!$A:$A,2)</f>
        <v>0</v>
      </c>
      <c r="Q30" s="5" t="n">
        <f aca="false">COUNTIFS(Olympiade_1!$B:$B, $B30, Olympiade_1!$A:$A,3)+COUNTIFS(Olympiade_2!$B:$B, $B30, Olympiade_2!$A:$A,3)+COUNTIFS(Olympiade_3!$B:$B, $B30, Olympiade_3!$A:$A,3)+COUNTIFS(Olympiade_4!$B:$B, $B30, Olympiade_4!$A:$A,3)+COUNTIFS(Olympiade_5!$B:$B, $B30, Olympiade_5!$A:$A,3)+COUNTIFS(Olympiade_6!$B:$B, $B30, Olympiade_6!$A:$A,3)+COUNTIFS(Olympiade_7!$B:$B, $B30, Olympiade_7!$A:$A,3)+COUNTIFS(Olympiade_8!$B:$B, $B30, Olympiade_8!$A:$A,3)</f>
        <v>0</v>
      </c>
      <c r="R30" s="5" t="n">
        <f aca="false">SUM(O30,P30,Q30)</f>
        <v>0</v>
      </c>
      <c r="S30" s="5" t="n">
        <f aca="false">SUM(C30,G30,K30,O30)</f>
        <v>0</v>
      </c>
      <c r="T30" s="5" t="n">
        <f aca="false">SUM(D30,H30,L30,P30)</f>
        <v>0</v>
      </c>
      <c r="U30" s="5" t="n">
        <f aca="false">SUM(E30,I30,M30,Q30)</f>
        <v>1</v>
      </c>
      <c r="V30" s="5" t="n">
        <f aca="false">SUM(S30,T30,U30)</f>
        <v>1</v>
      </c>
      <c r="W30" s="5" t="n">
        <f aca="false">SUMIFS(Database!B:B,Database!A:A,B30) + SUMIFS(Database!F:F,Database!A:A,B30)</f>
        <v>50</v>
      </c>
    </row>
    <row r="31" customFormat="false" ht="15.75" hidden="false" customHeight="true" outlineLevel="0" collapsed="false">
      <c r="A31" s="5" t="n">
        <v>30</v>
      </c>
      <c r="B31" s="1" t="s">
        <v>35</v>
      </c>
      <c r="C31" s="5" t="n">
        <f aca="false">COUNTIFS(Olympiade_1!$B:$B,$B31,Olympiade_1!$F:$F,1)+COUNTIFS(Olympiade_2!$B:$B,$B31,Olympiade_2!$F:$F,1)+COUNTIFS(Olympiade_3!$B:$B,$B31,Olympiade_3!$F:$F,1)+COUNTIFS(Olympiade_4!$B:$B,$B31,Olympiade_4!$F:$F,1)+COUNTIFS(Olympiade_5!$B:$B,$B31,Olympiade_5!$F:$F,1)+COUNTIFS(Olympiade_6!$B:$B,$B31,Olympiade_6!$F:$F,1)+COUNTIFS(Olympiade_7!$B:$B,$B31,Olympiade_7!$F:$F,1)+COUNTIFS(Olympiade_8!$B:$B,$B31,Olympiade_8!$F:$F,1)</f>
        <v>0</v>
      </c>
      <c r="D31" s="5" t="n">
        <f aca="false">COUNTIFS(Olympiade_1!$B:$B, $B31, Olympiade_1!$F:$F,2)+COUNTIFS(Olympiade_2!$B:$B, $B31, Olympiade_2!$F:$F,2)+COUNTIFS(Olympiade_3!$B:$B, $B31, Olympiade_3!$F:$F,2)+COUNTIFS(Olympiade_4!$B:$B, $B31, Olympiade_4!$F:$F,2)+COUNTIFS(Olympiade_5!$B:$B, $B31, Olympiade_5!$F:$F,2)+COUNTIFS(Olympiade_6!$B:$B, $B31, Olympiade_6!$F:$F,2)+COUNTIFS(Olympiade_7!$B:$B, $B31, Olympiade_7!$F:$F,2)+COUNTIFS(Olympiade_8!$B:$B, $B31, Olympiade_8!$F:$F,2)</f>
        <v>0</v>
      </c>
      <c r="E31" s="5" t="n">
        <f aca="false">COUNTIFS(Olympiade_1!$B:$B, $B31, Olympiade_1!$F:$F,3)+COUNTIFS(Olympiade_2!$B:$B, $B31, Olympiade_2!$F:$F,3)+COUNTIFS(Olympiade_3!$B:$B, $B31, Olympiade_3!$F:$F,3)+COUNTIFS(Olympiade_4!$B:$B, $B31, Olympiade_4!$F:$F,3)+COUNTIFS(Olympiade_5!$B:$B, $B31, Olympiade_5!$F:$F,3)+COUNTIFS(Olympiade_6!$B:$B, $B31, Olympiade_6!$F:$F,3)+COUNTIFS(Olympiade_7!$B:$B, $B31, Olympiade_7!$F:$F,3)+COUNTIFS(Olympiade_8!$B:$B, $B31, Olympiade_8!$F:$F,3)</f>
        <v>1</v>
      </c>
      <c r="F31" s="5" t="n">
        <f aca="false">SUM(C31,D31,E31)</f>
        <v>1</v>
      </c>
      <c r="G31" s="5" t="n">
        <f aca="false">COUNTIFS(Olympiade_1!$B:$B, $B31, Olympiade_1!$G:$G,1)+COUNTIFS(Olympiade_2!$B:$B, $B31, Olympiade_2!$G:$G,1)+COUNTIFS(Olympiade_3!$B:$B, $B31, Olympiade_3!$G:$G,1)+COUNTIFS(Olympiade_4!$B:$B, $B31, Olympiade_4!$G:$G,1)+COUNTIFS(Olympiade_5!$B:$B, $B31, Olympiade_5!$G:$G,1)+COUNTIFS(Olympiade_6!$B:$B, $B31, Olympiade_6!$G:$G,1)+COUNTIFS(Olympiade_7!$B:$B, $B31, Olympiade_7!$G:$G,1)+COUNTIFS(Olympiade_8!$B:$B, $B31, Olympiade_8!$G:$G,1)</f>
        <v>0</v>
      </c>
      <c r="H31" s="5" t="n">
        <f aca="false">COUNTIFS(Olympiade_1!$B:$B, $B31, Olympiade_1!$G:$G,2)+COUNTIFS(Olympiade_2!$B:$B, $B31, Olympiade_2!$G:$G,2)+COUNTIFS(Olympiade_3!$B:$B, $B31, Olympiade_3!$G:$G,2)+COUNTIFS(Olympiade_4!$B:$B, $B31, Olympiade_4!$G:$G,2)+COUNTIFS(Olympiade_5!$B:$B, $B31, Olympiade_5!$G:$G,2)+COUNTIFS(Olympiade_6!$B:$B, $B31, Olympiade_6!$G:$G,2)+COUNTIFS(Olympiade_7!$B:$B, $B31, Olympiade_7!$G:$G,2)+COUNTIFS(Olympiade_8!$B:$B, $B31, Olympiade_8!$G:$G,2)</f>
        <v>0</v>
      </c>
      <c r="I31" s="5" t="n">
        <f aca="false">COUNTIFS(Olympiade_1!$B:$B, $B31, Olympiade_1!$G:$G,3)+COUNTIFS(Olympiade_2!$B:$B, $B31, Olympiade_2!$G:$G,3)+COUNTIFS(Olympiade_3!$B:$B, $B31, Olympiade_3!$G:$G,3)+COUNTIFS(Olympiade_4!$B:$B, $B31, Olympiade_4!$G:$G,3)+COUNTIFS(Olympiade_5!$B:$B, $B31, Olympiade_5!$G:$G,3)+COUNTIFS(Olympiade_6!$B:$B, $B31, Olympiade_6!$G:$G,3)+COUNTIFS(Olympiade_7!$B:$B, $B31, Olympiade_7!$G:$G,3)+COUNTIFS(Olympiade_8!$B:$B, $B31, Olympiade_8!$G:$G,3)</f>
        <v>0</v>
      </c>
      <c r="J31" s="5" t="n">
        <f aca="false">SUM(G31,H31,I31)</f>
        <v>0</v>
      </c>
      <c r="K31" s="5" t="n">
        <f aca="false">COUNTIFS(Olympiade_1!$B:$B, $B31, Olympiade_1!$H:$H,1)+COUNTIFS(Olympiade_2!$B:$B, $B31, Olympiade_2!$H:$H,1)+COUNTIFS(Olympiade_3!$B:$B, $B31, Olympiade_3!$H:$H,1)+COUNTIFS(Olympiade_4!$B:$B, $B31, Olympiade_4!$H:$H,1)+COUNTIFS(Olympiade_5!$B:$B, $B31, Olympiade_5!$H:$H,1)+COUNTIFS(Olympiade_6!$B:$B, $B31, Olympiade_6!$H:$H,1)+COUNTIFS(Olympiade_7!$B:$B, $B31, Olympiade_7!$H:$H,1)+COUNTIFS(Olympiade_8!$B:$B, $B31, Olympiade_8!$H:$H,1)</f>
        <v>0</v>
      </c>
      <c r="L31" s="5" t="n">
        <f aca="false">COUNTIFS(Olympiade_1!$B:$B, $B31, Olympiade_1!$H:$H,2)+COUNTIFS(Olympiade_2!$B:$B, $B31, Olympiade_2!$H:$H,2)+COUNTIFS(Olympiade_3!$B:$B, $B31, Olympiade_3!$H:$H,2)+COUNTIFS(Olympiade_4!$B:$B, $B31, Olympiade_4!$H:$H,2)+COUNTIFS(Olympiade_5!$B:$B, $B31, Olympiade_5!$H:$H,2)+COUNTIFS(Olympiade_6!$B:$B, $B31, Olympiade_6!$H:$H,2)+COUNTIFS(Olympiade_7!$B:$B, $B31, Olympiade_7!$H:$H,2)+COUNTIFS(Olympiade_8!$B:$B, $B31, Olympiade_8!$H:$H,2)</f>
        <v>0</v>
      </c>
      <c r="M31" s="5" t="n">
        <f aca="false">COUNTIFS(Olympiade_1!$B:$B, $B31, Olympiade_1!$H:$H,3)+COUNTIFS(Olympiade_2!$B:$B, $B31, Olympiade_2!$H:$H,3)+COUNTIFS(Olympiade_3!$B:$B, $B31, Olympiade_3!$H:$H,3)+COUNTIFS(Olympiade_4!$B:$B, $B31, Olympiade_4!$H:$H,3)+COUNTIFS(Olympiade_5!$B:$B, $B31, Olympiade_5!$H:$H,3)+COUNTIFS(Olympiade_6!$B:$B, $B31, Olympiade_6!$H:$H,3)+COUNTIFS(Olympiade_7!$B:$B, $B31, Olympiade_7!$H:$H,3)+COUNTIFS(Olympiade_8!$B:$B, $B31, Olympiade_8!$H:$H,3)</f>
        <v>0</v>
      </c>
      <c r="N31" s="5" t="n">
        <f aca="false">SUM(K31,L31,M31)</f>
        <v>0</v>
      </c>
      <c r="O31" s="5" t="n">
        <f aca="false">COUNTIFS(Olympiade_1!$B:$B, $B31, Olympiade_1!$A:$A,1)+COUNTIFS(Olympiade_2!$B:$B, $B31, Olympiade_2!$A:$A,1)+COUNTIFS(Olympiade_3!$B:$B, $B31, Olympiade_3!$A:$A,1)+COUNTIFS(Olympiade_4!$B:$B, $B31, Olympiade_4!$A:$A,1)+COUNTIFS(Olympiade_5!$B:$B, $B31, Olympiade_5!$A:$A,1)+COUNTIFS(Olympiade_6!$B:$B, $B31, Olympiade_6!$A:$A,1)+COUNTIFS(Olympiade_7!$B:$B, $B31, Olympiade_7!$A:$A,1)+COUNTIFS(Olympiade_8!$B:$B, $B31, Olympiade_8!$A:$A,1)</f>
        <v>0</v>
      </c>
      <c r="P31" s="5" t="n">
        <f aca="false">COUNTIFS(Olympiade_1!$B:$B, $B31, Olympiade_1!$A:$A,2)+COUNTIFS(Olympiade_2!$B:$B, $B31, Olympiade_2!$A:$A,2)+COUNTIFS(Olympiade_3!$B:$B, $B31, Olympiade_3!$A:$A,2)+COUNTIFS(Olympiade_4!$B:$B, $B31, Olympiade_4!$A:$A,2)+COUNTIFS(Olympiade_5!$B:$B, $B31, Olympiade_5!$A:$A,2)+COUNTIFS(Olympiade_6!$B:$B, $B31, Olympiade_6!$A:$A,2)+COUNTIFS(Olympiade_7!$B:$B, $B31, Olympiade_7!$A:$A,2)+COUNTIFS(Olympiade_8!$B:$B, $B31, Olympiade_8!$A:$A,2)</f>
        <v>0</v>
      </c>
      <c r="Q31" s="5" t="n">
        <f aca="false">COUNTIFS(Olympiade_1!$B:$B, $B31, Olympiade_1!$A:$A,3)+COUNTIFS(Olympiade_2!$B:$B, $B31, Olympiade_2!$A:$A,3)+COUNTIFS(Olympiade_3!$B:$B, $B31, Olympiade_3!$A:$A,3)+COUNTIFS(Olympiade_4!$B:$B, $B31, Olympiade_4!$A:$A,3)+COUNTIFS(Olympiade_5!$B:$B, $B31, Olympiade_5!$A:$A,3)+COUNTIFS(Olympiade_6!$B:$B, $B31, Olympiade_6!$A:$A,3)+COUNTIFS(Olympiade_7!$B:$B, $B31, Olympiade_7!$A:$A,3)+COUNTIFS(Olympiade_8!$B:$B, $B31, Olympiade_8!$A:$A,3)</f>
        <v>0</v>
      </c>
      <c r="R31" s="5" t="n">
        <f aca="false">SUM(O31,P31,Q31)</f>
        <v>0</v>
      </c>
      <c r="S31" s="5" t="n">
        <f aca="false">SUM(C31,G31,K31,O31)</f>
        <v>0</v>
      </c>
      <c r="T31" s="5" t="n">
        <f aca="false">SUM(D31,H31,L31,P31)</f>
        <v>0</v>
      </c>
      <c r="U31" s="5" t="n">
        <f aca="false">SUM(E31,I31,M31,Q31)</f>
        <v>1</v>
      </c>
      <c r="V31" s="5" t="n">
        <f aca="false">SUM(S31,T31,U31)</f>
        <v>1</v>
      </c>
      <c r="W31" s="5" t="n">
        <f aca="false">SUMIFS(Database!B:B,Database!A:A,B31) + SUMIFS(Database!F:F,Database!A:A,B31)</f>
        <v>40</v>
      </c>
    </row>
    <row r="32" customFormat="false" ht="15.75" hidden="false" customHeight="true" outlineLevel="0" collapsed="false">
      <c r="A32" s="5" t="n">
        <v>31</v>
      </c>
      <c r="B32" s="5" t="s">
        <v>36</v>
      </c>
      <c r="C32" s="5" t="n">
        <f aca="false">COUNTIFS(Olympiade_1!$B:$B,$B32,Olympiade_1!$F:$F,1)+COUNTIFS(Olympiade_2!$B:$B,$B32,Olympiade_2!$F:$F,1)+COUNTIFS(Olympiade_3!$B:$B,$B32,Olympiade_3!$F:$F,1)+COUNTIFS(Olympiade_4!$B:$B,$B32,Olympiade_4!$F:$F,1)+COUNTIFS(Olympiade_5!$B:$B,$B32,Olympiade_5!$F:$F,1)+COUNTIFS(Olympiade_6!$B:$B,$B32,Olympiade_6!$F:$F,1)+COUNTIFS(Olympiade_7!$B:$B,$B32,Olympiade_7!$F:$F,1)+COUNTIFS(Olympiade_8!$B:$B,$B32,Olympiade_8!$F:$F,1)</f>
        <v>0</v>
      </c>
      <c r="D32" s="5" t="n">
        <f aca="false">COUNTIFS(Olympiade_1!$B:$B, $B32, Olympiade_1!$F:$F,2)+COUNTIFS(Olympiade_2!$B:$B, $B32, Olympiade_2!$F:$F,2)+COUNTIFS(Olympiade_3!$B:$B, $B32, Olympiade_3!$F:$F,2)+COUNTIFS(Olympiade_4!$B:$B, $B32, Olympiade_4!$F:$F,2)+COUNTIFS(Olympiade_5!$B:$B, $B32, Olympiade_5!$F:$F,2)+COUNTIFS(Olympiade_6!$B:$B, $B32, Olympiade_6!$F:$F,2)+COUNTIFS(Olympiade_7!$B:$B, $B32, Olympiade_7!$F:$F,2)+COUNTIFS(Olympiade_8!$B:$B, $B32, Olympiade_8!$F:$F,2)</f>
        <v>0</v>
      </c>
      <c r="E32" s="5" t="n">
        <f aca="false">COUNTIFS(Olympiade_1!$B:$B, $B32, Olympiade_1!$F:$F,3)+COUNTIFS(Olympiade_2!$B:$B, $B32, Olympiade_2!$F:$F,3)+COUNTIFS(Olympiade_3!$B:$B, $B32, Olympiade_3!$F:$F,3)+COUNTIFS(Olympiade_4!$B:$B, $B32, Olympiade_4!$F:$F,3)+COUNTIFS(Olympiade_5!$B:$B, $B32, Olympiade_5!$F:$F,3)+COUNTIFS(Olympiade_6!$B:$B, $B32, Olympiade_6!$F:$F,3)+COUNTIFS(Olympiade_7!$B:$B, $B32, Olympiade_7!$F:$F,3)+COUNTIFS(Olympiade_8!$B:$B, $B32, Olympiade_8!$F:$F,3)</f>
        <v>0</v>
      </c>
      <c r="F32" s="5" t="n">
        <f aca="false">SUM(C32,D32,E32)</f>
        <v>0</v>
      </c>
      <c r="G32" s="5" t="n">
        <f aca="false">COUNTIFS(Olympiade_1!$B:$B, $B32, Olympiade_1!$G:$G,1)+COUNTIFS(Olympiade_2!$B:$B, $B32, Olympiade_2!$G:$G,1)+COUNTIFS(Olympiade_3!$B:$B, $B32, Olympiade_3!$G:$G,1)+COUNTIFS(Olympiade_4!$B:$B, $B32, Olympiade_4!$G:$G,1)+COUNTIFS(Olympiade_5!$B:$B, $B32, Olympiade_5!$G:$G,1)+COUNTIFS(Olympiade_6!$B:$B, $B32, Olympiade_6!$G:$G,1)+COUNTIFS(Olympiade_7!$B:$B, $B32, Olympiade_7!$G:$G,1)+COUNTIFS(Olympiade_8!$B:$B, $B32, Olympiade_8!$G:$G,1)</f>
        <v>0</v>
      </c>
      <c r="H32" s="5" t="n">
        <f aca="false">COUNTIFS(Olympiade_1!$B:$B, $B32, Olympiade_1!$G:$G,2)+COUNTIFS(Olympiade_2!$B:$B, $B32, Olympiade_2!$G:$G,2)+COUNTIFS(Olympiade_3!$B:$B, $B32, Olympiade_3!$G:$G,2)+COUNTIFS(Olympiade_4!$B:$B, $B32, Olympiade_4!$G:$G,2)+COUNTIFS(Olympiade_5!$B:$B, $B32, Olympiade_5!$G:$G,2)+COUNTIFS(Olympiade_6!$B:$B, $B32, Olympiade_6!$G:$G,2)+COUNTIFS(Olympiade_7!$B:$B, $B32, Olympiade_7!$G:$G,2)+COUNTIFS(Olympiade_8!$B:$B, $B32, Olympiade_8!$G:$G,2)</f>
        <v>0</v>
      </c>
      <c r="I32" s="5" t="n">
        <f aca="false">COUNTIFS(Olympiade_1!$B:$B, $B32, Olympiade_1!$G:$G,3)+COUNTIFS(Olympiade_2!$B:$B, $B32, Olympiade_2!$G:$G,3)+COUNTIFS(Olympiade_3!$B:$B, $B32, Olympiade_3!$G:$G,3)+COUNTIFS(Olympiade_4!$B:$B, $B32, Olympiade_4!$G:$G,3)+COUNTIFS(Olympiade_5!$B:$B, $B32, Olympiade_5!$G:$G,3)+COUNTIFS(Olympiade_6!$B:$B, $B32, Olympiade_6!$G:$G,3)+COUNTIFS(Olympiade_7!$B:$B, $B32, Olympiade_7!$G:$G,3)+COUNTIFS(Olympiade_8!$B:$B, $B32, Olympiade_8!$G:$G,3)</f>
        <v>0</v>
      </c>
      <c r="J32" s="5" t="n">
        <f aca="false">SUM(G32,H32,I32)</f>
        <v>0</v>
      </c>
      <c r="K32" s="5" t="n">
        <f aca="false">COUNTIFS(Olympiade_1!$B:$B, $B32, Olympiade_1!$H:$H,1)+COUNTIFS(Olympiade_2!$B:$B, $B32, Olympiade_2!$H:$H,1)+COUNTIFS(Olympiade_3!$B:$B, $B32, Olympiade_3!$H:$H,1)+COUNTIFS(Olympiade_4!$B:$B, $B32, Olympiade_4!$H:$H,1)+COUNTIFS(Olympiade_5!$B:$B, $B32, Olympiade_5!$H:$H,1)+COUNTIFS(Olympiade_6!$B:$B, $B32, Olympiade_6!$H:$H,1)+COUNTIFS(Olympiade_7!$B:$B, $B32, Olympiade_7!$H:$H,1)+COUNTIFS(Olympiade_8!$B:$B, $B32, Olympiade_8!$H:$H,1)</f>
        <v>0</v>
      </c>
      <c r="L32" s="5" t="n">
        <f aca="false">COUNTIFS(Olympiade_1!$B:$B, $B32, Olympiade_1!$H:$H,2)+COUNTIFS(Olympiade_2!$B:$B, $B32, Olympiade_2!$H:$H,2)+COUNTIFS(Olympiade_3!$B:$B, $B32, Olympiade_3!$H:$H,2)+COUNTIFS(Olympiade_4!$B:$B, $B32, Olympiade_4!$H:$H,2)+COUNTIFS(Olympiade_5!$B:$B, $B32, Olympiade_5!$H:$H,2)+COUNTIFS(Olympiade_6!$B:$B, $B32, Olympiade_6!$H:$H,2)+COUNTIFS(Olympiade_7!$B:$B, $B32, Olympiade_7!$H:$H,2)+COUNTIFS(Olympiade_8!$B:$B, $B32, Olympiade_8!$H:$H,2)</f>
        <v>0</v>
      </c>
      <c r="M32" s="5" t="n">
        <f aca="false">COUNTIFS(Olympiade_1!$B:$B, $B32, Olympiade_1!$H:$H,3)+COUNTIFS(Olympiade_2!$B:$B, $B32, Olympiade_2!$H:$H,3)+COUNTIFS(Olympiade_3!$B:$B, $B32, Olympiade_3!$H:$H,3)+COUNTIFS(Olympiade_4!$B:$B, $B32, Olympiade_4!$H:$H,3)+COUNTIFS(Olympiade_5!$B:$B, $B32, Olympiade_5!$H:$H,3)+COUNTIFS(Olympiade_6!$B:$B, $B32, Olympiade_6!$H:$H,3)+COUNTIFS(Olympiade_7!$B:$B, $B32, Olympiade_7!$H:$H,3)+COUNTIFS(Olympiade_8!$B:$B, $B32, Olympiade_8!$H:$H,3)</f>
        <v>0</v>
      </c>
      <c r="N32" s="5" t="n">
        <f aca="false">SUM(K32,L32,M32)</f>
        <v>0</v>
      </c>
      <c r="O32" s="5" t="n">
        <f aca="false">COUNTIFS(Olympiade_1!$B:$B, $B32, Olympiade_1!$A:$A,1)+COUNTIFS(Olympiade_2!$B:$B, $B32, Olympiade_2!$A:$A,1)+COUNTIFS(Olympiade_3!$B:$B, $B32, Olympiade_3!$A:$A,1)+COUNTIFS(Olympiade_4!$B:$B, $B32, Olympiade_4!$A:$A,1)+COUNTIFS(Olympiade_5!$B:$B, $B32, Olympiade_5!$A:$A,1)+COUNTIFS(Olympiade_6!$B:$B, $B32, Olympiade_6!$A:$A,1)+COUNTIFS(Olympiade_7!$B:$B, $B32, Olympiade_7!$A:$A,1)+COUNTIFS(Olympiade_8!$B:$B, $B32, Olympiade_8!$A:$A,1)</f>
        <v>0</v>
      </c>
      <c r="P32" s="5" t="n">
        <f aca="false">COUNTIFS(Olympiade_1!$B:$B, $B32, Olympiade_1!$A:$A,2)+COUNTIFS(Olympiade_2!$B:$B, $B32, Olympiade_2!$A:$A,2)+COUNTIFS(Olympiade_3!$B:$B, $B32, Olympiade_3!$A:$A,2)+COUNTIFS(Olympiade_4!$B:$B, $B32, Olympiade_4!$A:$A,2)+COUNTIFS(Olympiade_5!$B:$B, $B32, Olympiade_5!$A:$A,2)+COUNTIFS(Olympiade_6!$B:$B, $B32, Olympiade_6!$A:$A,2)+COUNTIFS(Olympiade_7!$B:$B, $B32, Olympiade_7!$A:$A,2)+COUNTIFS(Olympiade_8!$B:$B, $B32, Olympiade_8!$A:$A,2)</f>
        <v>0</v>
      </c>
      <c r="Q32" s="5" t="n">
        <f aca="false">COUNTIFS(Olympiade_1!$B:$B, $B32, Olympiade_1!$A:$A,3)+COUNTIFS(Olympiade_2!$B:$B, $B32, Olympiade_2!$A:$A,3)+COUNTIFS(Olympiade_3!$B:$B, $B32, Olympiade_3!$A:$A,3)+COUNTIFS(Olympiade_4!$B:$B, $B32, Olympiade_4!$A:$A,3)+COUNTIFS(Olympiade_5!$B:$B, $B32, Olympiade_5!$A:$A,3)+COUNTIFS(Olympiade_6!$B:$B, $B32, Olympiade_6!$A:$A,3)+COUNTIFS(Olympiade_7!$B:$B, $B32, Olympiade_7!$A:$A,3)+COUNTIFS(Olympiade_8!$B:$B, $B32, Olympiade_8!$A:$A,3)</f>
        <v>0</v>
      </c>
      <c r="R32" s="5" t="n">
        <f aca="false">SUM(O32,P32,Q32)</f>
        <v>0</v>
      </c>
      <c r="S32" s="5" t="n">
        <f aca="false">SUM(C32,G32,K32,O32)</f>
        <v>0</v>
      </c>
      <c r="T32" s="5" t="n">
        <f aca="false">SUM(D32,H32,L32,P32)</f>
        <v>0</v>
      </c>
      <c r="U32" s="5" t="n">
        <f aca="false">SUM(E32,I32,M32,Q32)</f>
        <v>0</v>
      </c>
      <c r="V32" s="5" t="n">
        <f aca="false">SUM(S32,T32,U32)</f>
        <v>0</v>
      </c>
      <c r="W32" s="5" t="n">
        <f aca="false">SUMIFS(Database!B:B,Database!A:A,B32) + SUMIFS(Database!F:F,Database!A:A,B32)</f>
        <v>20</v>
      </c>
      <c r="X32" s="5" t="e">
        <f aca="false" t="array" ref="X32:X32">AVERAGE(xlookup(B32, Database!K:K, Database!L:N,NA()))</f>
        <v>#N/A</v>
      </c>
    </row>
    <row r="33" customFormat="false" ht="15.75" hidden="false" customHeight="true" outlineLevel="0" collapsed="false">
      <c r="A33" s="5" t="n">
        <v>32</v>
      </c>
      <c r="B33" s="5" t="s">
        <v>37</v>
      </c>
      <c r="C33" s="5" t="n">
        <f aca="false">COUNTIFS(Olympiade_1!$B:$B,$B33,Olympiade_1!$F:$F,1)+COUNTIFS(Olympiade_2!$B:$B,$B33,Olympiade_2!$F:$F,1)+COUNTIFS(Olympiade_3!$B:$B,$B33,Olympiade_3!$F:$F,1)+COUNTIFS(Olympiade_4!$B:$B,$B33,Olympiade_4!$F:$F,1)+COUNTIFS(Olympiade_5!$B:$B,$B33,Olympiade_5!$F:$F,1)+COUNTIFS(Olympiade_6!$B:$B,$B33,Olympiade_6!$F:$F,1)+COUNTIFS(Olympiade_7!$B:$B,$B33,Olympiade_7!$F:$F,1)+COUNTIFS(Olympiade_8!$B:$B,$B33,Olympiade_8!$F:$F,1)</f>
        <v>0</v>
      </c>
      <c r="D33" s="5" t="n">
        <f aca="false">COUNTIFS(Olympiade_1!$B:$B, $B33, Olympiade_1!$F:$F,2)+COUNTIFS(Olympiade_2!$B:$B, $B33, Olympiade_2!$F:$F,2)+COUNTIFS(Olympiade_3!$B:$B, $B33, Olympiade_3!$F:$F,2)+COUNTIFS(Olympiade_4!$B:$B, $B33, Olympiade_4!$F:$F,2)+COUNTIFS(Olympiade_5!$B:$B, $B33, Olympiade_5!$F:$F,2)+COUNTIFS(Olympiade_6!$B:$B, $B33, Olympiade_6!$F:$F,2)+COUNTIFS(Olympiade_7!$B:$B, $B33, Olympiade_7!$F:$F,2)+COUNTIFS(Olympiade_8!$B:$B, $B33, Olympiade_8!$F:$F,2)</f>
        <v>0</v>
      </c>
      <c r="E33" s="5" t="n">
        <f aca="false">COUNTIFS(Olympiade_1!$B:$B, $B33, Olympiade_1!$F:$F,3)+COUNTIFS(Olympiade_2!$B:$B, $B33, Olympiade_2!$F:$F,3)+COUNTIFS(Olympiade_3!$B:$B, $B33, Olympiade_3!$F:$F,3)+COUNTIFS(Olympiade_4!$B:$B, $B33, Olympiade_4!$F:$F,3)+COUNTIFS(Olympiade_5!$B:$B, $B33, Olympiade_5!$F:$F,3)+COUNTIFS(Olympiade_6!$B:$B, $B33, Olympiade_6!$F:$F,3)+COUNTIFS(Olympiade_7!$B:$B, $B33, Olympiade_7!$F:$F,3)+COUNTIFS(Olympiade_8!$B:$B, $B33, Olympiade_8!$F:$F,3)</f>
        <v>0</v>
      </c>
      <c r="F33" s="5" t="n">
        <f aca="false">SUM(C33,D33,E33)</f>
        <v>0</v>
      </c>
      <c r="G33" s="5" t="n">
        <f aca="false">COUNTIFS(Olympiade_1!$B:$B, $B33, Olympiade_1!$G:$G,1)+COUNTIFS(Olympiade_2!$B:$B, $B33, Olympiade_2!$G:$G,1)+COUNTIFS(Olympiade_3!$B:$B, $B33, Olympiade_3!$G:$G,1)+COUNTIFS(Olympiade_4!$B:$B, $B33, Olympiade_4!$G:$G,1)+COUNTIFS(Olympiade_5!$B:$B, $B33, Olympiade_5!$G:$G,1)+COUNTIFS(Olympiade_6!$B:$B, $B33, Olympiade_6!$G:$G,1)+COUNTIFS(Olympiade_7!$B:$B, $B33, Olympiade_7!$G:$G,1)+COUNTIFS(Olympiade_8!$B:$B, $B33, Olympiade_8!$G:$G,1)</f>
        <v>0</v>
      </c>
      <c r="H33" s="5" t="n">
        <f aca="false">COUNTIFS(Olympiade_1!$B:$B, $B33, Olympiade_1!$G:$G,2)+COUNTIFS(Olympiade_2!$B:$B, $B33, Olympiade_2!$G:$G,2)+COUNTIFS(Olympiade_3!$B:$B, $B33, Olympiade_3!$G:$G,2)+COUNTIFS(Olympiade_4!$B:$B, $B33, Olympiade_4!$G:$G,2)+COUNTIFS(Olympiade_5!$B:$B, $B33, Olympiade_5!$G:$G,2)+COUNTIFS(Olympiade_6!$B:$B, $B33, Olympiade_6!$G:$G,2)+COUNTIFS(Olympiade_7!$B:$B, $B33, Olympiade_7!$G:$G,2)+COUNTIFS(Olympiade_8!$B:$B, $B33, Olympiade_8!$G:$G,2)</f>
        <v>0</v>
      </c>
      <c r="I33" s="5" t="n">
        <f aca="false">COUNTIFS(Olympiade_1!$B:$B, $B33, Olympiade_1!$G:$G,3)+COUNTIFS(Olympiade_2!$B:$B, $B33, Olympiade_2!$G:$G,3)+COUNTIFS(Olympiade_3!$B:$B, $B33, Olympiade_3!$G:$G,3)+COUNTIFS(Olympiade_4!$B:$B, $B33, Olympiade_4!$G:$G,3)+COUNTIFS(Olympiade_5!$B:$B, $B33, Olympiade_5!$G:$G,3)+COUNTIFS(Olympiade_6!$B:$B, $B33, Olympiade_6!$G:$G,3)+COUNTIFS(Olympiade_7!$B:$B, $B33, Olympiade_7!$G:$G,3)+COUNTIFS(Olympiade_8!$B:$B, $B33, Olympiade_8!$G:$G,3)</f>
        <v>0</v>
      </c>
      <c r="J33" s="5" t="n">
        <f aca="false">SUM(G33,H33,I33)</f>
        <v>0</v>
      </c>
      <c r="K33" s="5" t="n">
        <f aca="false">COUNTIFS(Olympiade_1!$B:$B, $B33, Olympiade_1!$H:$H,1)+COUNTIFS(Olympiade_2!$B:$B, $B33, Olympiade_2!$H:$H,1)+COUNTIFS(Olympiade_3!$B:$B, $B33, Olympiade_3!$H:$H,1)+COUNTIFS(Olympiade_4!$B:$B, $B33, Olympiade_4!$H:$H,1)+COUNTIFS(Olympiade_5!$B:$B, $B33, Olympiade_5!$H:$H,1)+COUNTIFS(Olympiade_6!$B:$B, $B33, Olympiade_6!$H:$H,1)+COUNTIFS(Olympiade_7!$B:$B, $B33, Olympiade_7!$H:$H,1)+COUNTIFS(Olympiade_8!$B:$B, $B33, Olympiade_8!$H:$H,1)</f>
        <v>0</v>
      </c>
      <c r="L33" s="5" t="n">
        <f aca="false">COUNTIFS(Olympiade_1!$B:$B, $B33, Olympiade_1!$H:$H,2)+COUNTIFS(Olympiade_2!$B:$B, $B33, Olympiade_2!$H:$H,2)+COUNTIFS(Olympiade_3!$B:$B, $B33, Olympiade_3!$H:$H,2)+COUNTIFS(Olympiade_4!$B:$B, $B33, Olympiade_4!$H:$H,2)+COUNTIFS(Olympiade_5!$B:$B, $B33, Olympiade_5!$H:$H,2)+COUNTIFS(Olympiade_6!$B:$B, $B33, Olympiade_6!$H:$H,2)+COUNTIFS(Olympiade_7!$B:$B, $B33, Olympiade_7!$H:$H,2)+COUNTIFS(Olympiade_8!$B:$B, $B33, Olympiade_8!$H:$H,2)</f>
        <v>0</v>
      </c>
      <c r="M33" s="5" t="n">
        <f aca="false">COUNTIFS(Olympiade_1!$B:$B, $B33, Olympiade_1!$H:$H,3)+COUNTIFS(Olympiade_2!$B:$B, $B33, Olympiade_2!$H:$H,3)+COUNTIFS(Olympiade_3!$B:$B, $B33, Olympiade_3!$H:$H,3)+COUNTIFS(Olympiade_4!$B:$B, $B33, Olympiade_4!$H:$H,3)+COUNTIFS(Olympiade_5!$B:$B, $B33, Olympiade_5!$H:$H,3)+COUNTIFS(Olympiade_6!$B:$B, $B33, Olympiade_6!$H:$H,3)+COUNTIFS(Olympiade_7!$B:$B, $B33, Olympiade_7!$H:$H,3)+COUNTIFS(Olympiade_8!$B:$B, $B33, Olympiade_8!$H:$H,3)</f>
        <v>0</v>
      </c>
      <c r="N33" s="5" t="n">
        <f aca="false">SUM(K33,L33,M33)</f>
        <v>0</v>
      </c>
      <c r="O33" s="5" t="n">
        <f aca="false">COUNTIFS(Olympiade_1!$B:$B, $B33, Olympiade_1!$A:$A,1)+COUNTIFS(Olympiade_2!$B:$B, $B33, Olympiade_2!$A:$A,1)+COUNTIFS(Olympiade_3!$B:$B, $B33, Olympiade_3!$A:$A,1)+COUNTIFS(Olympiade_4!$B:$B, $B33, Olympiade_4!$A:$A,1)+COUNTIFS(Olympiade_5!$B:$B, $B33, Olympiade_5!$A:$A,1)+COUNTIFS(Olympiade_6!$B:$B, $B33, Olympiade_6!$A:$A,1)+COUNTIFS(Olympiade_7!$B:$B, $B33, Olympiade_7!$A:$A,1)+COUNTIFS(Olympiade_8!$B:$B, $B33, Olympiade_8!$A:$A,1)</f>
        <v>0</v>
      </c>
      <c r="P33" s="5" t="n">
        <f aca="false">COUNTIFS(Olympiade_1!$B:$B, $B33, Olympiade_1!$A:$A,2)+COUNTIFS(Olympiade_2!$B:$B, $B33, Olympiade_2!$A:$A,2)+COUNTIFS(Olympiade_3!$B:$B, $B33, Olympiade_3!$A:$A,2)+COUNTIFS(Olympiade_4!$B:$B, $B33, Olympiade_4!$A:$A,2)+COUNTIFS(Olympiade_5!$B:$B, $B33, Olympiade_5!$A:$A,2)+COUNTIFS(Olympiade_6!$B:$B, $B33, Olympiade_6!$A:$A,2)+COUNTIFS(Olympiade_7!$B:$B, $B33, Olympiade_7!$A:$A,2)+COUNTIFS(Olympiade_8!$B:$B, $B33, Olympiade_8!$A:$A,2)</f>
        <v>0</v>
      </c>
      <c r="Q33" s="5" t="n">
        <f aca="false">COUNTIFS(Olympiade_1!$B:$B, $B33, Olympiade_1!$A:$A,3)+COUNTIFS(Olympiade_2!$B:$B, $B33, Olympiade_2!$A:$A,3)+COUNTIFS(Olympiade_3!$B:$B, $B33, Olympiade_3!$A:$A,3)+COUNTIFS(Olympiade_4!$B:$B, $B33, Olympiade_4!$A:$A,3)+COUNTIFS(Olympiade_5!$B:$B, $B33, Olympiade_5!$A:$A,3)+COUNTIFS(Olympiade_6!$B:$B, $B33, Olympiade_6!$A:$A,3)+COUNTIFS(Olympiade_7!$B:$B, $B33, Olympiade_7!$A:$A,3)+COUNTIFS(Olympiade_8!$B:$B, $B33, Olympiade_8!$A:$A,3)</f>
        <v>0</v>
      </c>
      <c r="R33" s="5" t="n">
        <f aca="false">SUM(O33,P33,Q33)</f>
        <v>0</v>
      </c>
      <c r="S33" s="5" t="n">
        <f aca="false">SUM(C33,G33,K33,O33)</f>
        <v>0</v>
      </c>
      <c r="T33" s="5" t="n">
        <f aca="false">SUM(D33,H33,L33,P33)</f>
        <v>0</v>
      </c>
      <c r="U33" s="5" t="n">
        <f aca="false">SUM(E33,I33,M33,Q33)</f>
        <v>0</v>
      </c>
      <c r="V33" s="5" t="n">
        <f aca="false">SUM(S33,T33,U33)</f>
        <v>0</v>
      </c>
      <c r="W33" s="5" t="n">
        <f aca="false">SUMIFS(Database!B:B,Database!A:A,B33) + SUMIFS(Database!F:F,Database!A:A,B33)</f>
        <v>20</v>
      </c>
      <c r="X33" s="5" t="e">
        <f aca="false" t="array" ref="X33:X33">AVERAGE(xlookup(B33, Database!K:K, Database!L:N,NA()))</f>
        <v>#N/A</v>
      </c>
    </row>
    <row r="34" customFormat="false" ht="15.75" hidden="false" customHeight="true" outlineLevel="0" collapsed="false">
      <c r="A34" s="5" t="n">
        <v>33</v>
      </c>
      <c r="B34" s="5" t="s">
        <v>38</v>
      </c>
      <c r="C34" s="5" t="n">
        <f aca="false">COUNTIFS(Olympiade_1!$B:$B,$B34,Olympiade_1!$F:$F,1)+COUNTIFS(Olympiade_2!$B:$B,$B34,Olympiade_2!$F:$F,1)+COUNTIFS(Olympiade_3!$B:$B,$B34,Olympiade_3!$F:$F,1)+COUNTIFS(Olympiade_4!$B:$B,$B34,Olympiade_4!$F:$F,1)+COUNTIFS(Olympiade_5!$B:$B,$B34,Olympiade_5!$F:$F,1)+COUNTIFS(Olympiade_6!$B:$B,$B34,Olympiade_6!$F:$F,1)+COUNTIFS(Olympiade_7!$B:$B,$B34,Olympiade_7!$F:$F,1)+COUNTIFS(Olympiade_8!$B:$B,$B34,Olympiade_8!$F:$F,1)</f>
        <v>0</v>
      </c>
      <c r="D34" s="5" t="n">
        <f aca="false">COUNTIFS(Olympiade_1!$B:$B, $B34, Olympiade_1!$F:$F,2)+COUNTIFS(Olympiade_2!$B:$B, $B34, Olympiade_2!$F:$F,2)+COUNTIFS(Olympiade_3!$B:$B, $B34, Olympiade_3!$F:$F,2)+COUNTIFS(Olympiade_4!$B:$B, $B34, Olympiade_4!$F:$F,2)+COUNTIFS(Olympiade_5!$B:$B, $B34, Olympiade_5!$F:$F,2)+COUNTIFS(Olympiade_6!$B:$B, $B34, Olympiade_6!$F:$F,2)+COUNTIFS(Olympiade_7!$B:$B, $B34, Olympiade_7!$F:$F,2)+COUNTIFS(Olympiade_8!$B:$B, $B34, Olympiade_8!$F:$F,2)</f>
        <v>0</v>
      </c>
      <c r="E34" s="5" t="n">
        <f aca="false">COUNTIFS(Olympiade_1!$B:$B, $B34, Olympiade_1!$F:$F,3)+COUNTIFS(Olympiade_2!$B:$B, $B34, Olympiade_2!$F:$F,3)+COUNTIFS(Olympiade_3!$B:$B, $B34, Olympiade_3!$F:$F,3)+COUNTIFS(Olympiade_4!$B:$B, $B34, Olympiade_4!$F:$F,3)+COUNTIFS(Olympiade_5!$B:$B, $B34, Olympiade_5!$F:$F,3)+COUNTIFS(Olympiade_6!$B:$B, $B34, Olympiade_6!$F:$F,3)+COUNTIFS(Olympiade_7!$B:$B, $B34, Olympiade_7!$F:$F,3)+COUNTIFS(Olympiade_8!$B:$B, $B34, Olympiade_8!$F:$F,3)</f>
        <v>0</v>
      </c>
      <c r="F34" s="5" t="n">
        <f aca="false">SUM(C34,D34,E34)</f>
        <v>0</v>
      </c>
      <c r="G34" s="5" t="n">
        <f aca="false">COUNTIFS(Olympiade_1!$B:$B, $B34, Olympiade_1!$G:$G,1)+COUNTIFS(Olympiade_2!$B:$B, $B34, Olympiade_2!$G:$G,1)+COUNTIFS(Olympiade_3!$B:$B, $B34, Olympiade_3!$G:$G,1)+COUNTIFS(Olympiade_4!$B:$B, $B34, Olympiade_4!$G:$G,1)+COUNTIFS(Olympiade_5!$B:$B, $B34, Olympiade_5!$G:$G,1)+COUNTIFS(Olympiade_6!$B:$B, $B34, Olympiade_6!$G:$G,1)+COUNTIFS(Olympiade_7!$B:$B, $B34, Olympiade_7!$G:$G,1)+COUNTIFS(Olympiade_8!$B:$B, $B34, Olympiade_8!$G:$G,1)</f>
        <v>0</v>
      </c>
      <c r="H34" s="5" t="n">
        <f aca="false">COUNTIFS(Olympiade_1!$B:$B, $B34, Olympiade_1!$G:$G,2)+COUNTIFS(Olympiade_2!$B:$B, $B34, Olympiade_2!$G:$G,2)+COUNTIFS(Olympiade_3!$B:$B, $B34, Olympiade_3!$G:$G,2)+COUNTIFS(Olympiade_4!$B:$B, $B34, Olympiade_4!$G:$G,2)+COUNTIFS(Olympiade_5!$B:$B, $B34, Olympiade_5!$G:$G,2)+COUNTIFS(Olympiade_6!$B:$B, $B34, Olympiade_6!$G:$G,2)+COUNTIFS(Olympiade_7!$B:$B, $B34, Olympiade_7!$G:$G,2)+COUNTIFS(Olympiade_8!$B:$B, $B34, Olympiade_8!$G:$G,2)</f>
        <v>0</v>
      </c>
      <c r="I34" s="5" t="n">
        <f aca="false">COUNTIFS(Olympiade_1!$B:$B, $B34, Olympiade_1!$G:$G,3)+COUNTIFS(Olympiade_2!$B:$B, $B34, Olympiade_2!$G:$G,3)+COUNTIFS(Olympiade_3!$B:$B, $B34, Olympiade_3!$G:$G,3)+COUNTIFS(Olympiade_4!$B:$B, $B34, Olympiade_4!$G:$G,3)+COUNTIFS(Olympiade_5!$B:$B, $B34, Olympiade_5!$G:$G,3)+COUNTIFS(Olympiade_6!$B:$B, $B34, Olympiade_6!$G:$G,3)+COUNTIFS(Olympiade_7!$B:$B, $B34, Olympiade_7!$G:$G,3)+COUNTIFS(Olympiade_8!$B:$B, $B34, Olympiade_8!$G:$G,3)</f>
        <v>0</v>
      </c>
      <c r="J34" s="5" t="n">
        <f aca="false">SUM(G34,H34,I34)</f>
        <v>0</v>
      </c>
      <c r="K34" s="5" t="n">
        <f aca="false">COUNTIFS(Olympiade_1!$B:$B, $B34, Olympiade_1!$H:$H,1)+COUNTIFS(Olympiade_2!$B:$B, $B34, Olympiade_2!$H:$H,1)+COUNTIFS(Olympiade_3!$B:$B, $B34, Olympiade_3!$H:$H,1)+COUNTIFS(Olympiade_4!$B:$B, $B34, Olympiade_4!$H:$H,1)+COUNTIFS(Olympiade_5!$B:$B, $B34, Olympiade_5!$H:$H,1)+COUNTIFS(Olympiade_6!$B:$B, $B34, Olympiade_6!$H:$H,1)+COUNTIFS(Olympiade_7!$B:$B, $B34, Olympiade_7!$H:$H,1)+COUNTIFS(Olympiade_8!$B:$B, $B34, Olympiade_8!$H:$H,1)</f>
        <v>0</v>
      </c>
      <c r="L34" s="5" t="n">
        <f aca="false">COUNTIFS(Olympiade_1!$B:$B, $B34, Olympiade_1!$H:$H,2)+COUNTIFS(Olympiade_2!$B:$B, $B34, Olympiade_2!$H:$H,2)+COUNTIFS(Olympiade_3!$B:$B, $B34, Olympiade_3!$H:$H,2)+COUNTIFS(Olympiade_4!$B:$B, $B34, Olympiade_4!$H:$H,2)+COUNTIFS(Olympiade_5!$B:$B, $B34, Olympiade_5!$H:$H,2)+COUNTIFS(Olympiade_6!$B:$B, $B34, Olympiade_6!$H:$H,2)+COUNTIFS(Olympiade_7!$B:$B, $B34, Olympiade_7!$H:$H,2)+COUNTIFS(Olympiade_8!$B:$B, $B34, Olympiade_8!$H:$H,2)</f>
        <v>0</v>
      </c>
      <c r="M34" s="5" t="n">
        <f aca="false">COUNTIFS(Olympiade_1!$B:$B, $B34, Olympiade_1!$H:$H,3)+COUNTIFS(Olympiade_2!$B:$B, $B34, Olympiade_2!$H:$H,3)+COUNTIFS(Olympiade_3!$B:$B, $B34, Olympiade_3!$H:$H,3)+COUNTIFS(Olympiade_4!$B:$B, $B34, Olympiade_4!$H:$H,3)+COUNTIFS(Olympiade_5!$B:$B, $B34, Olympiade_5!$H:$H,3)+COUNTIFS(Olympiade_6!$B:$B, $B34, Olympiade_6!$H:$H,3)+COUNTIFS(Olympiade_7!$B:$B, $B34, Olympiade_7!$H:$H,3)+COUNTIFS(Olympiade_8!$B:$B, $B34, Olympiade_8!$H:$H,3)</f>
        <v>0</v>
      </c>
      <c r="N34" s="5" t="n">
        <f aca="false">SUM(K34,L34,M34)</f>
        <v>0</v>
      </c>
      <c r="O34" s="5" t="n">
        <f aca="false">COUNTIFS(Olympiade_1!$B:$B, $B34, Olympiade_1!$A:$A,1)+COUNTIFS(Olympiade_2!$B:$B, $B34, Olympiade_2!$A:$A,1)+COUNTIFS(Olympiade_3!$B:$B, $B34, Olympiade_3!$A:$A,1)+COUNTIFS(Olympiade_4!$B:$B, $B34, Olympiade_4!$A:$A,1)+COUNTIFS(Olympiade_5!$B:$B, $B34, Olympiade_5!$A:$A,1)+COUNTIFS(Olympiade_6!$B:$B, $B34, Olympiade_6!$A:$A,1)+COUNTIFS(Olympiade_7!$B:$B, $B34, Olympiade_7!$A:$A,1)+COUNTIFS(Olympiade_8!$B:$B, $B34, Olympiade_8!$A:$A,1)</f>
        <v>0</v>
      </c>
      <c r="P34" s="5" t="n">
        <f aca="false">COUNTIFS(Olympiade_1!$B:$B, $B34, Olympiade_1!$A:$A,2)+COUNTIFS(Olympiade_2!$B:$B, $B34, Olympiade_2!$A:$A,2)+COUNTIFS(Olympiade_3!$B:$B, $B34, Olympiade_3!$A:$A,2)+COUNTIFS(Olympiade_4!$B:$B, $B34, Olympiade_4!$A:$A,2)+COUNTIFS(Olympiade_5!$B:$B, $B34, Olympiade_5!$A:$A,2)+COUNTIFS(Olympiade_6!$B:$B, $B34, Olympiade_6!$A:$A,2)+COUNTIFS(Olympiade_7!$B:$B, $B34, Olympiade_7!$A:$A,2)+COUNTIFS(Olympiade_8!$B:$B, $B34, Olympiade_8!$A:$A,2)</f>
        <v>0</v>
      </c>
      <c r="Q34" s="5" t="n">
        <f aca="false">COUNTIFS(Olympiade_1!$B:$B, $B34, Olympiade_1!$A:$A,3)+COUNTIFS(Olympiade_2!$B:$B, $B34, Olympiade_2!$A:$A,3)+COUNTIFS(Olympiade_3!$B:$B, $B34, Olympiade_3!$A:$A,3)+COUNTIFS(Olympiade_4!$B:$B, $B34, Olympiade_4!$A:$A,3)+COUNTIFS(Olympiade_5!$B:$B, $B34, Olympiade_5!$A:$A,3)+COUNTIFS(Olympiade_6!$B:$B, $B34, Olympiade_6!$A:$A,3)+COUNTIFS(Olympiade_7!$B:$B, $B34, Olympiade_7!$A:$A,3)+COUNTIFS(Olympiade_8!$B:$B, $B34, Olympiade_8!$A:$A,3)</f>
        <v>0</v>
      </c>
      <c r="R34" s="5" t="n">
        <f aca="false">SUM(O34,P34,Q34)</f>
        <v>0</v>
      </c>
      <c r="S34" s="5" t="n">
        <f aca="false">SUM(C34,G34,K34,O34)</f>
        <v>0</v>
      </c>
      <c r="T34" s="5" t="n">
        <f aca="false">SUM(D34,H34,L34,P34)</f>
        <v>0</v>
      </c>
      <c r="U34" s="5" t="n">
        <f aca="false">SUM(E34,I34,M34,Q34)</f>
        <v>0</v>
      </c>
      <c r="V34" s="5" t="n">
        <f aca="false">SUM(S34,T34,U34)</f>
        <v>0</v>
      </c>
      <c r="W34" s="5" t="n">
        <f aca="false">SUMIFS(Database!B:B,Database!A:A,B34) + SUMIFS(Database!F:F,Database!A:A,B34)</f>
        <v>20</v>
      </c>
      <c r="X34" s="5" t="e">
        <f aca="false" t="array" ref="X34:X34">AVERAGE(xlookup(B34, Database!K:K, Database!L:N,NA()))</f>
        <v>#N/A</v>
      </c>
    </row>
    <row r="35" customFormat="false" ht="15.75" hidden="false" customHeight="true" outlineLevel="0" collapsed="false">
      <c r="A35" s="1" t="n">
        <v>34</v>
      </c>
      <c r="B35" s="5" t="s">
        <v>39</v>
      </c>
      <c r="C35" s="5" t="n">
        <f aca="false">COUNTIFS(Olympiade_1!$B:$B,$B35,Olympiade_1!$F:$F,1)+COUNTIFS(Olympiade_2!$B:$B,$B35,Olympiade_2!$F:$F,1)+COUNTIFS(Olympiade_3!$B:$B,$B35,Olympiade_3!$F:$F,1)+COUNTIFS(Olympiade_4!$B:$B,$B35,Olympiade_4!$F:$F,1)+COUNTIFS(Olympiade_5!$B:$B,$B35,Olympiade_5!$F:$F,1)+COUNTIFS(Olympiade_6!$B:$B,$B35,Olympiade_6!$F:$F,1)+COUNTIFS(Olympiade_7!$B:$B,$B35,Olympiade_7!$F:$F,1)+COUNTIFS(Olympiade_8!$B:$B,$B35,Olympiade_8!$F:$F,1)</f>
        <v>0</v>
      </c>
      <c r="D35" s="5" t="n">
        <f aca="false">COUNTIFS(Olympiade_1!$B:$B, $B35, Olympiade_1!$F:$F,2)+COUNTIFS(Olympiade_2!$B:$B, $B35, Olympiade_2!$F:$F,2)+COUNTIFS(Olympiade_3!$B:$B, $B35, Olympiade_3!$F:$F,2)+COUNTIFS(Olympiade_4!$B:$B, $B35, Olympiade_4!$F:$F,2)+COUNTIFS(Olympiade_5!$B:$B, $B35, Olympiade_5!$F:$F,2)+COUNTIFS(Olympiade_6!$B:$B, $B35, Olympiade_6!$F:$F,2)+COUNTIFS(Olympiade_7!$B:$B, $B35, Olympiade_7!$F:$F,2)+COUNTIFS(Olympiade_8!$B:$B, $B35, Olympiade_8!$F:$F,2)</f>
        <v>0</v>
      </c>
      <c r="E35" s="5" t="n">
        <f aca="false">COUNTIFS(Olympiade_1!$B:$B, $B35, Olympiade_1!$F:$F,3)+COUNTIFS(Olympiade_2!$B:$B, $B35, Olympiade_2!$F:$F,3)+COUNTIFS(Olympiade_3!$B:$B, $B35, Olympiade_3!$F:$F,3)+COUNTIFS(Olympiade_4!$B:$B, $B35, Olympiade_4!$F:$F,3)+COUNTIFS(Olympiade_5!$B:$B, $B35, Olympiade_5!$F:$F,3)+COUNTIFS(Olympiade_6!$B:$B, $B35, Olympiade_6!$F:$F,3)+COUNTIFS(Olympiade_7!$B:$B, $B35, Olympiade_7!$F:$F,3)+COUNTIFS(Olympiade_8!$B:$B, $B35, Olympiade_8!$F:$F,3)</f>
        <v>0</v>
      </c>
      <c r="F35" s="5" t="n">
        <f aca="false">SUM(C35,D35,E35)</f>
        <v>0</v>
      </c>
      <c r="G35" s="5" t="n">
        <f aca="false">COUNTIFS(Olympiade_1!$B:$B, $B35, Olympiade_1!$G:$G,1)+COUNTIFS(Olympiade_2!$B:$B, $B35, Olympiade_2!$G:$G,1)+COUNTIFS(Olympiade_3!$B:$B, $B35, Olympiade_3!$G:$G,1)+COUNTIFS(Olympiade_4!$B:$B, $B35, Olympiade_4!$G:$G,1)+COUNTIFS(Olympiade_5!$B:$B, $B35, Olympiade_5!$G:$G,1)+COUNTIFS(Olympiade_6!$B:$B, $B35, Olympiade_6!$G:$G,1)+COUNTIFS(Olympiade_7!$B:$B, $B35, Olympiade_7!$G:$G,1)+COUNTIFS(Olympiade_8!$B:$B, $B35, Olympiade_8!$G:$G,1)</f>
        <v>0</v>
      </c>
      <c r="H35" s="5" t="n">
        <f aca="false">COUNTIFS(Olympiade_1!$B:$B, $B35, Olympiade_1!$G:$G,2)+COUNTIFS(Olympiade_2!$B:$B, $B35, Olympiade_2!$G:$G,2)+COUNTIFS(Olympiade_3!$B:$B, $B35, Olympiade_3!$G:$G,2)+COUNTIFS(Olympiade_4!$B:$B, $B35, Olympiade_4!$G:$G,2)+COUNTIFS(Olympiade_5!$B:$B, $B35, Olympiade_5!$G:$G,2)+COUNTIFS(Olympiade_6!$B:$B, $B35, Olympiade_6!$G:$G,2)+COUNTIFS(Olympiade_7!$B:$B, $B35, Olympiade_7!$G:$G,2)+COUNTIFS(Olympiade_8!$B:$B, $B35, Olympiade_8!$G:$G,2)</f>
        <v>0</v>
      </c>
      <c r="I35" s="5" t="n">
        <f aca="false">COUNTIFS(Olympiade_1!$B:$B, $B35, Olympiade_1!$G:$G,3)+COUNTIFS(Olympiade_2!$B:$B, $B35, Olympiade_2!$G:$G,3)+COUNTIFS(Olympiade_3!$B:$B, $B35, Olympiade_3!$G:$G,3)+COUNTIFS(Olympiade_4!$B:$B, $B35, Olympiade_4!$G:$G,3)+COUNTIFS(Olympiade_5!$B:$B, $B35, Olympiade_5!$G:$G,3)+COUNTIFS(Olympiade_6!$B:$B, $B35, Olympiade_6!$G:$G,3)+COUNTIFS(Olympiade_7!$B:$B, $B35, Olympiade_7!$G:$G,3)+COUNTIFS(Olympiade_8!$B:$B, $B35, Olympiade_8!$G:$G,3)</f>
        <v>0</v>
      </c>
      <c r="J35" s="5" t="n">
        <f aca="false">SUM(G35,H35,I35)</f>
        <v>0</v>
      </c>
      <c r="K35" s="5" t="n">
        <f aca="false">COUNTIFS(Olympiade_1!$B:$B, $B35, Olympiade_1!$H:$H,1)+COUNTIFS(Olympiade_2!$B:$B, $B35, Olympiade_2!$H:$H,1)+COUNTIFS(Olympiade_3!$B:$B, $B35, Olympiade_3!$H:$H,1)+COUNTIFS(Olympiade_4!$B:$B, $B35, Olympiade_4!$H:$H,1)+COUNTIFS(Olympiade_5!$B:$B, $B35, Olympiade_5!$H:$H,1)+COUNTIFS(Olympiade_6!$B:$B, $B35, Olympiade_6!$H:$H,1)+COUNTIFS(Olympiade_7!$B:$B, $B35, Olympiade_7!$H:$H,1)+COUNTIFS(Olympiade_8!$B:$B, $B35, Olympiade_8!$H:$H,1)</f>
        <v>0</v>
      </c>
      <c r="L35" s="5" t="n">
        <f aca="false">COUNTIFS(Olympiade_1!$B:$B, $B35, Olympiade_1!$H:$H,2)+COUNTIFS(Olympiade_2!$B:$B, $B35, Olympiade_2!$H:$H,2)+COUNTIFS(Olympiade_3!$B:$B, $B35, Olympiade_3!$H:$H,2)+COUNTIFS(Olympiade_4!$B:$B, $B35, Olympiade_4!$H:$H,2)+COUNTIFS(Olympiade_5!$B:$B, $B35, Olympiade_5!$H:$H,2)+COUNTIFS(Olympiade_6!$B:$B, $B35, Olympiade_6!$H:$H,2)+COUNTIFS(Olympiade_7!$B:$B, $B35, Olympiade_7!$H:$H,2)+COUNTIFS(Olympiade_8!$B:$B, $B35, Olympiade_8!$H:$H,2)</f>
        <v>0</v>
      </c>
      <c r="M35" s="5" t="n">
        <f aca="false">COUNTIFS(Olympiade_1!$B:$B, $B35, Olympiade_1!$H:$H,3)+COUNTIFS(Olympiade_2!$B:$B, $B35, Olympiade_2!$H:$H,3)+COUNTIFS(Olympiade_3!$B:$B, $B35, Olympiade_3!$H:$H,3)+COUNTIFS(Olympiade_4!$B:$B, $B35, Olympiade_4!$H:$H,3)+COUNTIFS(Olympiade_5!$B:$B, $B35, Olympiade_5!$H:$H,3)+COUNTIFS(Olympiade_6!$B:$B, $B35, Olympiade_6!$H:$H,3)+COUNTIFS(Olympiade_7!$B:$B, $B35, Olympiade_7!$H:$H,3)+COUNTIFS(Olympiade_8!$B:$B, $B35, Olympiade_8!$H:$H,3)</f>
        <v>0</v>
      </c>
      <c r="N35" s="5" t="n">
        <f aca="false">SUM(K35,L35,M35)</f>
        <v>0</v>
      </c>
      <c r="O35" s="5" t="n">
        <f aca="false">COUNTIFS(Olympiade_1!$B:$B, $B35, Olympiade_1!$A:$A,1)+COUNTIFS(Olympiade_2!$B:$B, $B35, Olympiade_2!$A:$A,1)+COUNTIFS(Olympiade_3!$B:$B, $B35, Olympiade_3!$A:$A,1)+COUNTIFS(Olympiade_4!$B:$B, $B35, Olympiade_4!$A:$A,1)+COUNTIFS(Olympiade_5!$B:$B, $B35, Olympiade_5!$A:$A,1)+COUNTIFS(Olympiade_6!$B:$B, $B35, Olympiade_6!$A:$A,1)+COUNTIFS(Olympiade_7!$B:$B, $B35, Olympiade_7!$A:$A,1)+COUNTIFS(Olympiade_8!$B:$B, $B35, Olympiade_8!$A:$A,1)</f>
        <v>0</v>
      </c>
      <c r="P35" s="5" t="n">
        <f aca="false">COUNTIFS(Olympiade_1!$B:$B, $B35, Olympiade_1!$A:$A,2)+COUNTIFS(Olympiade_2!$B:$B, $B35, Olympiade_2!$A:$A,2)+COUNTIFS(Olympiade_3!$B:$B, $B35, Olympiade_3!$A:$A,2)+COUNTIFS(Olympiade_4!$B:$B, $B35, Olympiade_4!$A:$A,2)+COUNTIFS(Olympiade_5!$B:$B, $B35, Olympiade_5!$A:$A,2)+COUNTIFS(Olympiade_6!$B:$B, $B35, Olympiade_6!$A:$A,2)+COUNTIFS(Olympiade_7!$B:$B, $B35, Olympiade_7!$A:$A,2)+COUNTIFS(Olympiade_8!$B:$B, $B35, Olympiade_8!$A:$A,2)</f>
        <v>0</v>
      </c>
      <c r="Q35" s="5" t="n">
        <f aca="false">COUNTIFS(Olympiade_1!$B:$B, $B35, Olympiade_1!$A:$A,3)+COUNTIFS(Olympiade_2!$B:$B, $B35, Olympiade_2!$A:$A,3)+COUNTIFS(Olympiade_3!$B:$B, $B35, Olympiade_3!$A:$A,3)+COUNTIFS(Olympiade_4!$B:$B, $B35, Olympiade_4!$A:$A,3)+COUNTIFS(Olympiade_5!$B:$B, $B35, Olympiade_5!$A:$A,3)+COUNTIFS(Olympiade_6!$B:$B, $B35, Olympiade_6!$A:$A,3)+COUNTIFS(Olympiade_7!$B:$B, $B35, Olympiade_7!$A:$A,3)+COUNTIFS(Olympiade_8!$B:$B, $B35, Olympiade_8!$A:$A,3)</f>
        <v>0</v>
      </c>
      <c r="R35" s="5" t="n">
        <f aca="false">SUM(O35,P35,Q35)</f>
        <v>0</v>
      </c>
      <c r="S35" s="5" t="n">
        <f aca="false">SUM(C35,G35,K35,O35)</f>
        <v>0</v>
      </c>
      <c r="T35" s="5" t="n">
        <f aca="false">SUM(D35,H35,L35,P35)</f>
        <v>0</v>
      </c>
      <c r="U35" s="5" t="n">
        <f aca="false">SUM(E35,I35,M35,Q35)</f>
        <v>0</v>
      </c>
      <c r="V35" s="5" t="n">
        <f aca="false">SUM(S35,T35,U35)</f>
        <v>0</v>
      </c>
      <c r="W35" s="5" t="n">
        <f aca="false">SUMIFS(Database!B:B,Database!A:A,B35) + SUMIFS(Database!F:F,Database!A:A,B35)</f>
        <v>10</v>
      </c>
      <c r="X35" s="5" t="e">
        <f aca="false" t="array" ref="X35:X35">AVERAGE(xlookup(B35, Database!K:K, Database!L:N,NA()))</f>
        <v>#N/A</v>
      </c>
    </row>
    <row r="36" customFormat="false" ht="15.75" hidden="false" customHeight="true" outlineLevel="0" collapsed="false">
      <c r="A36" s="1" t="n">
        <v>35</v>
      </c>
      <c r="B36" s="5" t="s">
        <v>40</v>
      </c>
      <c r="C36" s="5" t="n">
        <f aca="false">COUNTIFS(Olympiade_1!$B:$B,$B36,Olympiade_1!$F:$F,1)+COUNTIFS(Olympiade_2!$B:$B,$B36,Olympiade_2!$F:$F,1)+COUNTIFS(Olympiade_3!$B:$B,$B36,Olympiade_3!$F:$F,1)+COUNTIFS(Olympiade_4!$B:$B,$B36,Olympiade_4!$F:$F,1)+COUNTIFS(Olympiade_5!$B:$B,$B36,Olympiade_5!$F:$F,1)+COUNTIFS(Olympiade_6!$B:$B,$B36,Olympiade_6!$F:$F,1)+COUNTIFS(Olympiade_7!$B:$B,$B36,Olympiade_7!$F:$F,1)+COUNTIFS(Olympiade_8!$B:$B,$B36,Olympiade_8!$F:$F,1)</f>
        <v>0</v>
      </c>
      <c r="D36" s="5" t="n">
        <f aca="false">COUNTIFS(Olympiade_1!$B:$B, $B36, Olympiade_1!$F:$F,2)+COUNTIFS(Olympiade_2!$B:$B, $B36, Olympiade_2!$F:$F,2)+COUNTIFS(Olympiade_3!$B:$B, $B36, Olympiade_3!$F:$F,2)+COUNTIFS(Olympiade_4!$B:$B, $B36, Olympiade_4!$F:$F,2)+COUNTIFS(Olympiade_5!$B:$B, $B36, Olympiade_5!$F:$F,2)+COUNTIFS(Olympiade_6!$B:$B, $B36, Olympiade_6!$F:$F,2)+COUNTIFS(Olympiade_7!$B:$B, $B36, Olympiade_7!$F:$F,2)+COUNTIFS(Olympiade_8!$B:$B, $B36, Olympiade_8!$F:$F,2)</f>
        <v>0</v>
      </c>
      <c r="E36" s="5" t="n">
        <f aca="false">COUNTIFS(Olympiade_1!$B:$B, $B36, Olympiade_1!$F:$F,3)+COUNTIFS(Olympiade_2!$B:$B, $B36, Olympiade_2!$F:$F,3)+COUNTIFS(Olympiade_3!$B:$B, $B36, Olympiade_3!$F:$F,3)+COUNTIFS(Olympiade_4!$B:$B, $B36, Olympiade_4!$F:$F,3)+COUNTIFS(Olympiade_5!$B:$B, $B36, Olympiade_5!$F:$F,3)+COUNTIFS(Olympiade_6!$B:$B, $B36, Olympiade_6!$F:$F,3)+COUNTIFS(Olympiade_7!$B:$B, $B36, Olympiade_7!$F:$F,3)+COUNTIFS(Olympiade_8!$B:$B, $B36, Olympiade_8!$F:$F,3)</f>
        <v>0</v>
      </c>
      <c r="F36" s="5" t="n">
        <f aca="false">SUM(C36,D36,E36)</f>
        <v>0</v>
      </c>
      <c r="G36" s="5" t="n">
        <f aca="false">COUNTIFS(Olympiade_1!$B:$B, $B36, Olympiade_1!$G:$G,1)+COUNTIFS(Olympiade_2!$B:$B, $B36, Olympiade_2!$G:$G,1)+COUNTIFS(Olympiade_3!$B:$B, $B36, Olympiade_3!$G:$G,1)+COUNTIFS(Olympiade_4!$B:$B, $B36, Olympiade_4!$G:$G,1)+COUNTIFS(Olympiade_5!$B:$B, $B36, Olympiade_5!$G:$G,1)+COUNTIFS(Olympiade_6!$B:$B, $B36, Olympiade_6!$G:$G,1)+COUNTIFS(Olympiade_7!$B:$B, $B36, Olympiade_7!$G:$G,1)+COUNTIFS(Olympiade_8!$B:$B, $B36, Olympiade_8!$G:$G,1)</f>
        <v>0</v>
      </c>
      <c r="H36" s="5" t="n">
        <f aca="false">COUNTIFS(Olympiade_1!$B:$B, $B36, Olympiade_1!$G:$G,2)+COUNTIFS(Olympiade_2!$B:$B, $B36, Olympiade_2!$G:$G,2)+COUNTIFS(Olympiade_3!$B:$B, $B36, Olympiade_3!$G:$G,2)+COUNTIFS(Olympiade_4!$B:$B, $B36, Olympiade_4!$G:$G,2)+COUNTIFS(Olympiade_5!$B:$B, $B36, Olympiade_5!$G:$G,2)+COUNTIFS(Olympiade_6!$B:$B, $B36, Olympiade_6!$G:$G,2)+COUNTIFS(Olympiade_7!$B:$B, $B36, Olympiade_7!$G:$G,2)+COUNTIFS(Olympiade_8!$B:$B, $B36, Olympiade_8!$G:$G,2)</f>
        <v>0</v>
      </c>
      <c r="I36" s="5" t="n">
        <f aca="false">COUNTIFS(Olympiade_1!$B:$B, $B36, Olympiade_1!$G:$G,3)+COUNTIFS(Olympiade_2!$B:$B, $B36, Olympiade_2!$G:$G,3)+COUNTIFS(Olympiade_3!$B:$B, $B36, Olympiade_3!$G:$G,3)+COUNTIFS(Olympiade_4!$B:$B, $B36, Olympiade_4!$G:$G,3)+COUNTIFS(Olympiade_5!$B:$B, $B36, Olympiade_5!$G:$G,3)+COUNTIFS(Olympiade_6!$B:$B, $B36, Olympiade_6!$G:$G,3)+COUNTIFS(Olympiade_7!$B:$B, $B36, Olympiade_7!$G:$G,3)+COUNTIFS(Olympiade_8!$B:$B, $B36, Olympiade_8!$G:$G,3)</f>
        <v>0</v>
      </c>
      <c r="J36" s="5" t="n">
        <f aca="false">SUM(G36,H36,I36)</f>
        <v>0</v>
      </c>
      <c r="K36" s="5" t="n">
        <f aca="false">COUNTIFS(Olympiade_1!$B:$B, $B36, Olympiade_1!$H:$H,1)+COUNTIFS(Olympiade_2!$B:$B, $B36, Olympiade_2!$H:$H,1)+COUNTIFS(Olympiade_3!$B:$B, $B36, Olympiade_3!$H:$H,1)+COUNTIFS(Olympiade_4!$B:$B, $B36, Olympiade_4!$H:$H,1)+COUNTIFS(Olympiade_5!$B:$B, $B36, Olympiade_5!$H:$H,1)+COUNTIFS(Olympiade_6!$B:$B, $B36, Olympiade_6!$H:$H,1)+COUNTIFS(Olympiade_7!$B:$B, $B36, Olympiade_7!$H:$H,1)+COUNTIFS(Olympiade_8!$B:$B, $B36, Olympiade_8!$H:$H,1)</f>
        <v>0</v>
      </c>
      <c r="L36" s="5" t="n">
        <f aca="false">COUNTIFS(Olympiade_1!$B:$B, $B36, Olympiade_1!$H:$H,2)+COUNTIFS(Olympiade_2!$B:$B, $B36, Olympiade_2!$H:$H,2)+COUNTIFS(Olympiade_3!$B:$B, $B36, Olympiade_3!$H:$H,2)+COUNTIFS(Olympiade_4!$B:$B, $B36, Olympiade_4!$H:$H,2)+COUNTIFS(Olympiade_5!$B:$B, $B36, Olympiade_5!$H:$H,2)+COUNTIFS(Olympiade_6!$B:$B, $B36, Olympiade_6!$H:$H,2)+COUNTIFS(Olympiade_7!$B:$B, $B36, Olympiade_7!$H:$H,2)+COUNTIFS(Olympiade_8!$B:$B, $B36, Olympiade_8!$H:$H,2)</f>
        <v>0</v>
      </c>
      <c r="M36" s="5" t="n">
        <f aca="false">COUNTIFS(Olympiade_1!$B:$B, $B36, Olympiade_1!$H:$H,3)+COUNTIFS(Olympiade_2!$B:$B, $B36, Olympiade_2!$H:$H,3)+COUNTIFS(Olympiade_3!$B:$B, $B36, Olympiade_3!$H:$H,3)+COUNTIFS(Olympiade_4!$B:$B, $B36, Olympiade_4!$H:$H,3)+COUNTIFS(Olympiade_5!$B:$B, $B36, Olympiade_5!$H:$H,3)+COUNTIFS(Olympiade_6!$B:$B, $B36, Olympiade_6!$H:$H,3)+COUNTIFS(Olympiade_7!$B:$B, $B36, Olympiade_7!$H:$H,3)+COUNTIFS(Olympiade_8!$B:$B, $B36, Olympiade_8!$H:$H,3)</f>
        <v>0</v>
      </c>
      <c r="N36" s="5" t="n">
        <f aca="false">SUM(K36,L36,M36)</f>
        <v>0</v>
      </c>
      <c r="O36" s="5" t="n">
        <f aca="false">COUNTIFS(Olympiade_1!$B:$B, $B36, Olympiade_1!$A:$A,1)+COUNTIFS(Olympiade_2!$B:$B, $B36, Olympiade_2!$A:$A,1)+COUNTIFS(Olympiade_3!$B:$B, $B36, Olympiade_3!$A:$A,1)+COUNTIFS(Olympiade_4!$B:$B, $B36, Olympiade_4!$A:$A,1)+COUNTIFS(Olympiade_5!$B:$B, $B36, Olympiade_5!$A:$A,1)+COUNTIFS(Olympiade_6!$B:$B, $B36, Olympiade_6!$A:$A,1)+COUNTIFS(Olympiade_7!$B:$B, $B36, Olympiade_7!$A:$A,1)+COUNTIFS(Olympiade_8!$B:$B, $B36, Olympiade_8!$A:$A,1)</f>
        <v>0</v>
      </c>
      <c r="P36" s="5" t="n">
        <f aca="false">COUNTIFS(Olympiade_1!$B:$B, $B36, Olympiade_1!$A:$A,2)+COUNTIFS(Olympiade_2!$B:$B, $B36, Olympiade_2!$A:$A,2)+COUNTIFS(Olympiade_3!$B:$B, $B36, Olympiade_3!$A:$A,2)+COUNTIFS(Olympiade_4!$B:$B, $B36, Olympiade_4!$A:$A,2)+COUNTIFS(Olympiade_5!$B:$B, $B36, Olympiade_5!$A:$A,2)+COUNTIFS(Olympiade_6!$B:$B, $B36, Olympiade_6!$A:$A,2)+COUNTIFS(Olympiade_7!$B:$B, $B36, Olympiade_7!$A:$A,2)+COUNTIFS(Olympiade_8!$B:$B, $B36, Olympiade_8!$A:$A,2)</f>
        <v>0</v>
      </c>
      <c r="Q36" s="5" t="n">
        <f aca="false">COUNTIFS(Olympiade_1!$B:$B, $B36, Olympiade_1!$A:$A,3)+COUNTIFS(Olympiade_2!$B:$B, $B36, Olympiade_2!$A:$A,3)+COUNTIFS(Olympiade_3!$B:$B, $B36, Olympiade_3!$A:$A,3)+COUNTIFS(Olympiade_4!$B:$B, $B36, Olympiade_4!$A:$A,3)+COUNTIFS(Olympiade_5!$B:$B, $B36, Olympiade_5!$A:$A,3)+COUNTIFS(Olympiade_6!$B:$B, $B36, Olympiade_6!$A:$A,3)+COUNTIFS(Olympiade_7!$B:$B, $B36, Olympiade_7!$A:$A,3)+COUNTIFS(Olympiade_8!$B:$B, $B36, Olympiade_8!$A:$A,3)</f>
        <v>0</v>
      </c>
      <c r="R36" s="5" t="n">
        <f aca="false">SUM(O36,P36,Q36)</f>
        <v>0</v>
      </c>
      <c r="S36" s="5" t="n">
        <f aca="false">SUM(C36,G36,K36,O36)</f>
        <v>0</v>
      </c>
      <c r="T36" s="5" t="n">
        <f aca="false">SUM(D36,H36,L36,P36)</f>
        <v>0</v>
      </c>
      <c r="U36" s="5" t="n">
        <f aca="false">SUM(E36,I36,M36,Q36)</f>
        <v>0</v>
      </c>
      <c r="V36" s="5" t="n">
        <f aca="false">SUM(S36,T36,U36)</f>
        <v>0</v>
      </c>
      <c r="W36" s="5" t="n">
        <f aca="false">SUMIFS(Database!B:B,Database!A:A,B36) + SUMIFS(Database!F:F,Database!A:A,B36)</f>
        <v>10</v>
      </c>
      <c r="X36" s="5" t="e">
        <f aca="false" t="array" ref="X36:X36">AVERAGE(xlookup(B36, Database!K:K, Database!L:N,NA()))</f>
        <v>#N/A</v>
      </c>
    </row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00"/>
  <sheetViews>
    <sheetView showFormulas="false" showGridLines="true" showRowColHeaders="true" showZeros="true" rightToLeft="false" tabSelected="false" showOutlineSymbols="true" defaultGridColor="true" view="normal" topLeftCell="A76" colorId="64" zoomScale="100" zoomScaleNormal="100" zoomScalePageLayoutView="100" workbookViewId="0">
      <selection pane="topLeft" activeCell="F107" activeCellId="0" sqref="F107"/>
    </sheetView>
  </sheetViews>
  <sheetFormatPr defaultColWidth="12.63671875" defaultRowHeight="15" customHeight="true" zeroHeight="false" outlineLevelRow="0" outlineLevelCol="0"/>
  <cols>
    <col collapsed="false" customWidth="true" hidden="false" outlineLevel="0" max="1" min="1" style="1" width="25.74"/>
    <col collapsed="false" customWidth="true" hidden="false" outlineLevel="0" max="2" min="2" style="1" width="29.63"/>
    <col collapsed="false" customWidth="true" hidden="false" outlineLevel="0" max="3" min="3" style="1" width="27.75"/>
    <col collapsed="false" customWidth="true" hidden="false" outlineLevel="0" max="4" min="4" style="1" width="22.89"/>
    <col collapsed="false" customWidth="true" hidden="false" outlineLevel="0" max="5" min="5" style="1" width="20"/>
    <col collapsed="false" customWidth="true" hidden="false" outlineLevel="0" max="6" min="6" style="1" width="23.88"/>
    <col collapsed="false" customWidth="true" hidden="false" outlineLevel="0" max="9" min="7" style="1" width="7.75"/>
    <col collapsed="false" customWidth="true" hidden="false" outlineLevel="0" max="10" min="10" style="1" width="14.25"/>
    <col collapsed="false" customWidth="true" hidden="false" outlineLevel="0" max="14" min="11" style="1" width="17.5"/>
    <col collapsed="false" customWidth="true" hidden="false" outlineLevel="0" max="15" min="15" style="1" width="18"/>
    <col collapsed="false" customWidth="true" hidden="false" outlineLevel="0" max="16" min="16" style="1" width="30"/>
    <col collapsed="false" customWidth="true" hidden="false" outlineLevel="0" max="17" min="17" style="1" width="25.88"/>
    <col collapsed="false" customWidth="true" hidden="false" outlineLevel="0" max="26" min="18" style="1" width="7.75"/>
  </cols>
  <sheetData>
    <row r="1" customFormat="false" ht="15" hidden="false" customHeight="false" outlineLevel="0" collapsed="false">
      <c r="A1" s="5" t="s">
        <v>1</v>
      </c>
      <c r="B1" s="5" t="s">
        <v>79</v>
      </c>
      <c r="C1" s="5" t="s">
        <v>2</v>
      </c>
      <c r="D1" s="5" t="s">
        <v>3</v>
      </c>
      <c r="E1" s="5" t="s">
        <v>4</v>
      </c>
      <c r="F1" s="5" t="s">
        <v>5</v>
      </c>
    </row>
    <row r="2" customFormat="false" ht="15" hidden="false" customHeight="false" outlineLevel="0" collapsed="false">
      <c r="A2" s="5" t="s">
        <v>28</v>
      </c>
      <c r="B2" s="5" t="s">
        <v>80</v>
      </c>
      <c r="C2" s="5" t="n">
        <v>30</v>
      </c>
      <c r="D2" s="5" t="n">
        <v>30</v>
      </c>
      <c r="E2" s="5" t="n">
        <v>40</v>
      </c>
      <c r="F2" s="5" t="n">
        <v>40</v>
      </c>
      <c r="J2" s="5" t="n">
        <v>3</v>
      </c>
      <c r="K2" s="5" t="s">
        <v>10</v>
      </c>
      <c r="L2" s="5" t="n">
        <f aca="false">SUMIFS(Database!B:B,Database!A:A,K2) + SUMIFS(Database!C:C,Database!A:A,K2)</f>
        <v>230</v>
      </c>
      <c r="M2" s="5" t="n">
        <f aca="false">SUMIFS(Database!B:B,Database!A:A,K2) + SUMIFS(Database!D:D,Database!A:A,K2)</f>
        <v>180</v>
      </c>
      <c r="N2" s="5" t="n">
        <f aca="false">SUMIFS(Database!B:B,Database!A:A,K2) + SUMIFS(Database!E:E,Database!A:A,K2)</f>
        <v>240</v>
      </c>
      <c r="O2" s="5" t="n">
        <f aca="false">SUMIFS(Database!B:B,Database!A:A,K2) + SUMIFS(Database!F:F,Database!A:A,K2)</f>
        <v>260</v>
      </c>
      <c r="P2" s="5" t="n">
        <f aca="false">AVERAGE(L2,M2,N2)</f>
        <v>216.666666666667</v>
      </c>
    </row>
    <row r="3" customFormat="false" ht="15" hidden="false" customHeight="false" outlineLevel="0" collapsed="false">
      <c r="A3" s="5" t="s">
        <v>18</v>
      </c>
      <c r="B3" s="5" t="s">
        <v>80</v>
      </c>
      <c r="C3" s="5" t="n">
        <v>20</v>
      </c>
      <c r="D3" s="5" t="n">
        <v>10</v>
      </c>
      <c r="E3" s="5" t="n">
        <v>20</v>
      </c>
      <c r="F3" s="5" t="n">
        <v>10</v>
      </c>
      <c r="J3" s="9" t="n">
        <v>9</v>
      </c>
      <c r="K3" s="9" t="s">
        <v>20</v>
      </c>
      <c r="L3" s="10" t="n">
        <f aca="false">SUMIFS(Database!B:B,Database!A:A,K3) + SUMIFS(Database!C:C,Database!A:A,K3)</f>
        <v>90</v>
      </c>
      <c r="M3" s="10" t="n">
        <f aca="false">SUMIFS(Database!B:B,Database!A:A,K3) + SUMIFS(Database!D:D,Database!A:A,K3)</f>
        <v>180</v>
      </c>
      <c r="N3" s="10" t="n">
        <f aca="false">SUMIFS(Database!B:B,Database!A:A,K3) + SUMIFS(Database!E:E,Database!A:A,K3)</f>
        <v>150</v>
      </c>
      <c r="O3" s="11" t="n">
        <f aca="false">SUMIFS(Database!B:B,Database!A:A,K3) + SUMIFS(Database!F:F,Database!A:A,K3)</f>
        <v>120</v>
      </c>
      <c r="P3" s="10" t="n">
        <f aca="false">AVERAGE(L3,M3,N3)</f>
        <v>140</v>
      </c>
    </row>
    <row r="4" customFormat="false" ht="15" hidden="false" customHeight="false" outlineLevel="0" collapsed="false">
      <c r="A4" s="5" t="s">
        <v>12</v>
      </c>
      <c r="B4" s="5" t="s">
        <v>80</v>
      </c>
      <c r="C4" s="5" t="n">
        <v>40</v>
      </c>
      <c r="D4" s="5" t="n">
        <v>20</v>
      </c>
      <c r="E4" s="5" t="n">
        <v>30</v>
      </c>
      <c r="F4" s="5" t="n">
        <v>30</v>
      </c>
      <c r="J4" s="5" t="n">
        <v>17</v>
      </c>
      <c r="K4" s="5" t="s">
        <v>24</v>
      </c>
      <c r="L4" s="5" t="n">
        <f aca="false">SUMIFS(Database!B:B,Database!A:A,K4) + SUMIFS(Database!C:C,Database!A:A,K4)</f>
        <v>80</v>
      </c>
      <c r="M4" s="5" t="n">
        <f aca="false">SUMIFS(Database!B:B,Database!A:A,K4) + SUMIFS(Database!D:D,Database!A:A,K4)</f>
        <v>180</v>
      </c>
      <c r="N4" s="5" t="n">
        <f aca="false">SUMIFS(Database!B:B,Database!A:A,K4) + SUMIFS(Database!E:E,Database!A:A,K4)</f>
        <v>60</v>
      </c>
      <c r="O4" s="5" t="n">
        <f aca="false">SUMIFS(Database!B:B,Database!A:A,K4) + SUMIFS(Database!F:F,Database!A:A,K4)</f>
        <v>90</v>
      </c>
      <c r="P4" s="5" t="n">
        <f aca="false">AVERAGE(L4,M4,N4)</f>
        <v>106.666666666667</v>
      </c>
    </row>
    <row r="5" customFormat="false" ht="15" hidden="false" customHeight="false" outlineLevel="0" collapsed="false">
      <c r="A5" s="5" t="s">
        <v>11</v>
      </c>
      <c r="B5" s="5" t="s">
        <v>80</v>
      </c>
      <c r="C5" s="5" t="n">
        <v>40</v>
      </c>
      <c r="D5" s="5" t="n">
        <v>20</v>
      </c>
      <c r="E5" s="5" t="n">
        <v>30</v>
      </c>
      <c r="F5" s="5" t="n">
        <v>30</v>
      </c>
      <c r="J5" s="5" t="n">
        <v>23</v>
      </c>
      <c r="K5" s="5" t="s">
        <v>30</v>
      </c>
      <c r="L5" s="5" t="n">
        <f aca="false">SUMIFS(Database!B:B,Database!A:A,K5) + SUMIFS(Database!C:C,Database!A:A,K5)</f>
        <v>70</v>
      </c>
      <c r="M5" s="5" t="n">
        <f aca="false">SUMIFS(Database!B:B,Database!A:A,K5) + SUMIFS(Database!D:D,Database!A:A,K5)</f>
        <v>60</v>
      </c>
      <c r="N5" s="5" t="n">
        <f aca="false">SUMIFS(Database!B:B,Database!A:A,K5) + SUMIFS(Database!E:E,Database!A:A,K5)</f>
        <v>50</v>
      </c>
      <c r="O5" s="5" t="n">
        <f aca="false">SUMIFS(Database!B:B,Database!A:A,K5) + SUMIFS(Database!F:F,Database!A:A,K5)</f>
        <v>70</v>
      </c>
      <c r="P5" s="5" t="n">
        <f aca="false">AVERAGE(L5,M5,N5)</f>
        <v>60</v>
      </c>
    </row>
    <row r="6" customFormat="false" ht="15" hidden="false" customHeight="false" outlineLevel="0" collapsed="false">
      <c r="A6" s="5" t="s">
        <v>6</v>
      </c>
      <c r="B6" s="5" t="s">
        <v>80</v>
      </c>
      <c r="C6" s="5" t="n">
        <v>10</v>
      </c>
      <c r="D6" s="5" t="n">
        <v>40</v>
      </c>
      <c r="E6" s="5" t="n">
        <v>10</v>
      </c>
      <c r="F6" s="5" t="n">
        <v>20</v>
      </c>
    </row>
    <row r="7" customFormat="false" ht="15" hidden="false" customHeight="false" outlineLevel="0" collapsed="false">
      <c r="A7" s="5" t="s">
        <v>24</v>
      </c>
      <c r="B7" s="5" t="s">
        <v>80</v>
      </c>
      <c r="C7" s="5" t="n">
        <v>10</v>
      </c>
      <c r="D7" s="5" t="n">
        <v>40</v>
      </c>
      <c r="E7" s="5" t="n">
        <v>10</v>
      </c>
      <c r="F7" s="5" t="n">
        <v>20</v>
      </c>
    </row>
    <row r="8" customFormat="false" ht="15" hidden="false" customHeight="false" outlineLevel="0" collapsed="false">
      <c r="A8" s="5" t="s">
        <v>27</v>
      </c>
      <c r="B8" s="5" t="s">
        <v>80</v>
      </c>
      <c r="C8" s="5" t="n">
        <v>20</v>
      </c>
      <c r="D8" s="5" t="n">
        <v>10</v>
      </c>
      <c r="E8" s="5" t="n">
        <v>20</v>
      </c>
      <c r="F8" s="5" t="n">
        <v>10</v>
      </c>
      <c r="J8" s="5" t="n">
        <v>6</v>
      </c>
      <c r="K8" s="5" t="s">
        <v>11</v>
      </c>
      <c r="L8" s="5" t="e">
        <f aca="false">AVERAGE(IFERROR(VLOOKUP($K8,Olympiade_1!$B:$F,5,FALSE()),""),IFERROR(VLOOKUP($K8,Olympiade_2!$B:$F,5,FALSE()),""),IFERROR(VLOOKUP($K8,Olympiade_3!$B:$F,5,FALSE()),""),IFERROR(VLOOKUP($K8,Olympiade_4!$B:$F,5,FALSE()),""),IFERROR(VLOOKUP($K8,Olympiade_5!$B:$F,5,FALSE()),""),IFERROR(VLOOKUP($K8,Olympiade_6!$B:$F,5,FALSE()),""))</f>
        <v>#VALUE!</v>
      </c>
      <c r="M8" s="5" t="n">
        <f aca="false">SUMIFS(Database!B:B,Database!A:A,K8) + SUMIFS(Database!D:D,Database!A:A,K8)</f>
        <v>220</v>
      </c>
      <c r="N8" s="5" t="n">
        <f aca="false">SUMIFS(Database!B:B,Database!A:A,K8) + SUMIFS(Database!E:E,Database!A:A,K8)</f>
        <v>220</v>
      </c>
      <c r="P8" s="5" t="n">
        <f aca="false">SUMIFS(Database!B:B,Database!A:A,K8) + SUMIFS(Database!F:F,Database!A:A,K8)</f>
        <v>240</v>
      </c>
      <c r="Q8" s="5" t="e">
        <f aca="false">AVERAGE(#REF!,#REF!,#REF!)</f>
        <v>#REF!</v>
      </c>
    </row>
    <row r="9" customFormat="false" ht="15" hidden="false" customHeight="false" outlineLevel="0" collapsed="false">
      <c r="A9" s="5" t="s">
        <v>7</v>
      </c>
      <c r="B9" s="5" t="s">
        <v>80</v>
      </c>
      <c r="C9" s="5" t="n">
        <v>30</v>
      </c>
      <c r="D9" s="5" t="n">
        <v>30</v>
      </c>
      <c r="E9" s="5" t="n">
        <v>40</v>
      </c>
      <c r="F9" s="5" t="n">
        <v>40</v>
      </c>
      <c r="J9" s="5" t="n">
        <v>10</v>
      </c>
      <c r="K9" s="5" t="s">
        <v>18</v>
      </c>
      <c r="L9" s="5" t="e">
        <f aca="false">AVERAGE(IFERROR(VLOOKUP($K9,Olympiade_1!$B:$F,5,FALSE()),""),IFERROR(VLOOKUP($K9,Olympiade_2!$B:$F,5,FALSE()),""),IFERROR(VLOOKUP($K9,Olympiade_3!$B:$F,5,FALSE()),""),IFERROR(VLOOKUP($K9,Olympiade_4!$B:$F,5,FALSE()),""),IFERROR(VLOOKUP($K9,Olympiade_5!$B:$F,5,FALSE()),""),IFERROR(VLOOKUP($K9,Olympiade_6!$B:$F,5,FALSE()),""))</f>
        <v>#VALUE!</v>
      </c>
      <c r="M9" s="5" t="n">
        <f aca="false">SUMIFS(Database!B:B,Database!A:A,K9) + SUMIFS(Database!D:D,Database!A:A,K9)</f>
        <v>130</v>
      </c>
      <c r="N9" s="5" t="n">
        <f aca="false">SUMIFS(Database!B:B,Database!A:A,K9) + SUMIFS(Database!E:E,Database!A:A,K9)</f>
        <v>80</v>
      </c>
      <c r="P9" s="5" t="n">
        <f aca="false">SUMIFS(Database!B:B,Database!A:A,K9) + SUMIFS(Database!F:F,Database!A:A,K9)</f>
        <v>140</v>
      </c>
      <c r="Q9" s="5" t="e">
        <f aca="false">AVERAGE(#REF!,#REF!,#REF!)</f>
        <v>#REF!</v>
      </c>
    </row>
    <row r="10" customFormat="false" ht="15" hidden="false" customHeight="false" outlineLevel="0" collapsed="false">
      <c r="A10" s="5" t="s">
        <v>31</v>
      </c>
      <c r="B10" s="5" t="s">
        <v>81</v>
      </c>
      <c r="C10" s="5" t="n">
        <v>30</v>
      </c>
      <c r="D10" s="5" t="n">
        <v>30</v>
      </c>
      <c r="E10" s="5" t="n">
        <v>20</v>
      </c>
      <c r="F10" s="5" t="n">
        <v>30</v>
      </c>
      <c r="J10" s="5" t="n">
        <v>7</v>
      </c>
      <c r="K10" s="5" t="s">
        <v>12</v>
      </c>
      <c r="L10" s="5" t="n">
        <f aca="false">SUMIFS(Database!B:B,Database!A:A,K10) + SUMIFS(Database!C:C,Database!A:A,K10)</f>
        <v>260</v>
      </c>
      <c r="M10" s="5" t="n">
        <f aca="false">SUMIFS(Database!B:B,Database!A:A,K10) + SUMIFS(Database!D:D,Database!A:A,K10)</f>
        <v>170</v>
      </c>
      <c r="N10" s="5" t="n">
        <f aca="false">SUMIFS(Database!B:B,Database!A:A,K10) + SUMIFS(Database!E:E,Database!A:A,K10)</f>
        <v>190</v>
      </c>
      <c r="O10" s="5" t="n">
        <f aca="false">SUMIFS(Database!B:B,Database!A:A,K10) + SUMIFS(Database!F:F,Database!A:A,K10)</f>
        <v>230</v>
      </c>
      <c r="P10" s="5" t="n">
        <f aca="false">AVERAGE(L10,M10,N10)</f>
        <v>206.666666666667</v>
      </c>
    </row>
    <row r="11" customFormat="false" ht="15" hidden="false" customHeight="false" outlineLevel="0" collapsed="false">
      <c r="A11" s="5" t="s">
        <v>23</v>
      </c>
      <c r="B11" s="5" t="s">
        <v>81</v>
      </c>
      <c r="C11" s="5" t="n">
        <v>30</v>
      </c>
      <c r="D11" s="5" t="n">
        <v>30</v>
      </c>
      <c r="E11" s="5" t="n">
        <v>20</v>
      </c>
      <c r="F11" s="5" t="n">
        <v>30</v>
      </c>
      <c r="J11" s="5" t="n">
        <v>15</v>
      </c>
      <c r="K11" s="5" t="s">
        <v>22</v>
      </c>
      <c r="L11" s="5" t="n">
        <f aca="false">SUMIFS(Database!B:B,Database!A:A,K11) + SUMIFS(Database!C:C,Database!A:A,K11)</f>
        <v>160</v>
      </c>
      <c r="M11" s="5" t="n">
        <f aca="false">SUMIFS(Database!B:B,Database!A:A,K11) + SUMIFS(Database!D:D,Database!A:A,K11)</f>
        <v>90</v>
      </c>
      <c r="N11" s="5" t="n">
        <f aca="false">SUMIFS(Database!B:B,Database!A:A,K11) + SUMIFS(Database!E:E,Database!A:A,K11)</f>
        <v>190</v>
      </c>
      <c r="O11" s="5" t="n">
        <f aca="false">SUMIFS(Database!B:B,Database!A:A,K11) + SUMIFS(Database!F:F,Database!A:A,K11)</f>
        <v>100</v>
      </c>
      <c r="P11" s="5" t="n">
        <f aca="false">AVERAGE(L11,M11,N11)</f>
        <v>146.666666666667</v>
      </c>
    </row>
    <row r="12" customFormat="false" ht="15" hidden="false" customHeight="false" outlineLevel="0" collapsed="false">
      <c r="A12" s="5" t="s">
        <v>17</v>
      </c>
      <c r="B12" s="5" t="s">
        <v>81</v>
      </c>
      <c r="C12" s="5" t="n">
        <v>10</v>
      </c>
      <c r="D12" s="5" t="n">
        <v>10</v>
      </c>
      <c r="E12" s="5" t="n">
        <v>40</v>
      </c>
      <c r="F12" s="5" t="n">
        <v>10</v>
      </c>
      <c r="J12" s="5" t="n">
        <v>20</v>
      </c>
      <c r="K12" s="5" t="s">
        <v>28</v>
      </c>
      <c r="L12" s="5" t="n">
        <f aca="false">SUMIFS(Database!B:B,Database!A:A,K12) + SUMIFS(Database!C:C,Database!A:A,K12)</f>
        <v>80</v>
      </c>
      <c r="M12" s="5" t="n">
        <f aca="false">SUMIFS(Database!B:B,Database!A:A,K12) + SUMIFS(Database!D:D,Database!A:A,K12)</f>
        <v>120</v>
      </c>
      <c r="N12" s="5" t="n">
        <f aca="false">SUMIFS(Database!B:B,Database!A:A,K12) + SUMIFS(Database!E:E,Database!A:A,K12)</f>
        <v>80</v>
      </c>
      <c r="O12" s="5" t="n">
        <f aca="false">SUMIFS(Database!B:B,Database!A:A,K12) + SUMIFS(Database!F:F,Database!A:A,K12)</f>
        <v>70</v>
      </c>
      <c r="P12" s="5" t="n">
        <f aca="false">AVERAGE(L12,M12,N12)</f>
        <v>93.3333333333333</v>
      </c>
    </row>
    <row r="13" customFormat="false" ht="15" hidden="false" customHeight="false" outlineLevel="0" collapsed="false">
      <c r="A13" s="5" t="s">
        <v>11</v>
      </c>
      <c r="B13" s="5" t="s">
        <v>81</v>
      </c>
      <c r="C13" s="5" t="n">
        <v>40</v>
      </c>
      <c r="D13" s="5" t="n">
        <v>40</v>
      </c>
      <c r="E13" s="5" t="n">
        <v>30</v>
      </c>
      <c r="F13" s="5" t="n">
        <v>50</v>
      </c>
      <c r="J13" s="5" t="n">
        <v>24</v>
      </c>
      <c r="K13" s="5" t="s">
        <v>31</v>
      </c>
      <c r="L13" s="5" t="n">
        <f aca="false">SUMIFS(Database!B:B,Database!A:A,K13) + SUMIFS(Database!C:C,Database!A:A,K13)</f>
        <v>60</v>
      </c>
      <c r="M13" s="5" t="n">
        <f aca="false">SUMIFS(Database!B:B,Database!A:A,K13) + SUMIFS(Database!D:D,Database!A:A,K13)</f>
        <v>40</v>
      </c>
      <c r="N13" s="5" t="n">
        <f aca="false">SUMIFS(Database!B:B,Database!A:A,K13) + SUMIFS(Database!E:E,Database!A:A,K13)</f>
        <v>60</v>
      </c>
      <c r="O13" s="5" t="n">
        <f aca="false">SUMIFS(Database!B:B,Database!A:A,K13) + SUMIFS(Database!F:F,Database!A:A,K13)</f>
        <v>50</v>
      </c>
      <c r="P13" s="5" t="n">
        <f aca="false">AVERAGE(L13,M13,N13)</f>
        <v>53.3333333333333</v>
      </c>
    </row>
    <row r="14" customFormat="false" ht="15" hidden="false" customHeight="false" outlineLevel="0" collapsed="false">
      <c r="A14" s="5" t="s">
        <v>9</v>
      </c>
      <c r="B14" s="5" t="s">
        <v>81</v>
      </c>
      <c r="C14" s="5" t="n">
        <v>20</v>
      </c>
      <c r="D14" s="5" t="n">
        <v>10</v>
      </c>
      <c r="E14" s="5" t="n">
        <v>40</v>
      </c>
      <c r="F14" s="5" t="n">
        <v>10</v>
      </c>
      <c r="J14" s="5" t="n">
        <v>28</v>
      </c>
      <c r="K14" s="5" t="s">
        <v>36</v>
      </c>
      <c r="L14" s="5" t="n">
        <f aca="false">SUMIFS(Database!B:B,Database!A:A,K14) + SUMIFS(Database!C:C,Database!A:A,K14)</f>
        <v>30</v>
      </c>
      <c r="M14" s="5" t="n">
        <f aca="false">SUMIFS(Database!B:B,Database!A:A,K14) + SUMIFS(Database!D:D,Database!A:A,K14)</f>
        <v>60</v>
      </c>
      <c r="N14" s="5" t="n">
        <f aca="false">SUMIFS(Database!B:B,Database!A:A,K14) + SUMIFS(Database!E:E,Database!A:A,K14)</f>
        <v>10</v>
      </c>
      <c r="O14" s="5" t="n">
        <f aca="false">SUMIFS(Database!B:B,Database!A:A,K14) + SUMIFS(Database!F:F,Database!A:A,K14)</f>
        <v>20</v>
      </c>
      <c r="P14" s="5" t="n">
        <f aca="false">AVERAGE(L14,M14,N14)</f>
        <v>33.3333333333333</v>
      </c>
    </row>
    <row r="15" customFormat="false" ht="15" hidden="false" customHeight="false" outlineLevel="0" collapsed="false">
      <c r="A15" s="5" t="s">
        <v>8</v>
      </c>
      <c r="B15" s="5" t="s">
        <v>81</v>
      </c>
      <c r="C15" s="5" t="n">
        <v>40</v>
      </c>
      <c r="D15" s="5" t="n">
        <v>40</v>
      </c>
      <c r="E15" s="5" t="n">
        <v>30</v>
      </c>
      <c r="F15" s="5" t="n">
        <v>50</v>
      </c>
    </row>
    <row r="16" customFormat="false" ht="15" hidden="false" customHeight="false" outlineLevel="0" collapsed="false">
      <c r="A16" s="5" t="s">
        <v>6</v>
      </c>
      <c r="B16" s="5" t="s">
        <v>81</v>
      </c>
      <c r="C16" s="5" t="n">
        <v>20</v>
      </c>
      <c r="D16" s="5" t="n">
        <v>20</v>
      </c>
      <c r="E16" s="5" t="n">
        <v>10</v>
      </c>
      <c r="F16" s="5" t="n">
        <v>20</v>
      </c>
    </row>
    <row r="17" customFormat="false" ht="15" hidden="false" customHeight="false" outlineLevel="0" collapsed="false">
      <c r="A17" s="5" t="s">
        <v>26</v>
      </c>
      <c r="B17" s="5" t="s">
        <v>81</v>
      </c>
      <c r="C17" s="5" t="n">
        <v>40</v>
      </c>
      <c r="D17" s="5" t="n">
        <v>40</v>
      </c>
      <c r="E17" s="5" t="n">
        <v>30</v>
      </c>
      <c r="F17" s="5" t="n">
        <v>40</v>
      </c>
      <c r="J17" s="12" t="s">
        <v>0</v>
      </c>
      <c r="K17" s="12" t="s">
        <v>1</v>
      </c>
      <c r="L17" s="12" t="s">
        <v>82</v>
      </c>
      <c r="M17" s="12" t="s">
        <v>83</v>
      </c>
      <c r="N17" s="12" t="s">
        <v>84</v>
      </c>
      <c r="O17" s="12" t="s">
        <v>85</v>
      </c>
      <c r="P17" s="12" t="s">
        <v>5</v>
      </c>
      <c r="Q17" s="12" t="s">
        <v>86</v>
      </c>
    </row>
    <row r="18" customFormat="false" ht="15" hidden="false" customHeight="false" outlineLevel="0" collapsed="false">
      <c r="A18" s="5" t="s">
        <v>20</v>
      </c>
      <c r="B18" s="5" t="s">
        <v>81</v>
      </c>
      <c r="C18" s="5" t="n">
        <v>30</v>
      </c>
      <c r="D18" s="5" t="n">
        <v>30</v>
      </c>
      <c r="E18" s="5" t="n">
        <v>20</v>
      </c>
      <c r="F18" s="5" t="n">
        <v>30</v>
      </c>
      <c r="J18" s="5" t="n">
        <v>2</v>
      </c>
      <c r="K18" s="5" t="s">
        <v>6</v>
      </c>
      <c r="L18" s="5" t="n">
        <f aca="false">AVERAGE(IFERROR(VLOOKUP($K18,Olympiade_1!$B:$F,5,FALSE()),""),IFERROR(VLOOKUP($K18,Olympiade_2!$B:$F,5,FALSE()),""),IFERROR(VLOOKUP($K18,Olympiade_3!$B:$F,5,FALSE()),""),IFERROR(VLOOKUP($K18,Olympiade_4!$B:$F,5,FALSE()),""),IFERROR(VLOOKUP($K18,Olympiade_5!$B:$F,5,FALSE()),""),IFERROR(VLOOKUP($K18,Olympiade_6!$B:$F,5,FALSE()),""))</f>
        <v>3.83333333333333</v>
      </c>
      <c r="M18" s="5" t="n">
        <f aca="false">SUMIFS(Database!B:B,Database!A:A,K18) + SUMIFS(Database!D:D,Database!A:A,K18)</f>
        <v>380</v>
      </c>
      <c r="N18" s="5" t="n">
        <f aca="false">SUMIFS(Database!B:B,Database!A:A,K18) + SUMIFS(Database!E:E,Database!A:A,K18)</f>
        <v>290</v>
      </c>
      <c r="P18" s="5" t="n">
        <f aca="false">SUMIFS(Database!B:B,Database!A:A,K17) + SUMIFS(Database!F:F,Database!A:A,K17)</f>
        <v>0</v>
      </c>
      <c r="Q18" s="5" t="e">
        <f aca="false">AVERAGE(#REF!,#REF!,#REF!)</f>
        <v>#REF!</v>
      </c>
    </row>
    <row r="19" customFormat="false" ht="15" hidden="false" customHeight="false" outlineLevel="0" collapsed="false">
      <c r="A19" s="5" t="s">
        <v>7</v>
      </c>
      <c r="B19" s="5" t="s">
        <v>81</v>
      </c>
      <c r="C19" s="5" t="n">
        <v>40</v>
      </c>
      <c r="D19" s="5" t="n">
        <v>40</v>
      </c>
      <c r="E19" s="5" t="n">
        <v>30</v>
      </c>
      <c r="F19" s="5" t="n">
        <v>40</v>
      </c>
      <c r="J19" s="5" t="n">
        <v>11</v>
      </c>
      <c r="K19" s="5" t="s">
        <v>23</v>
      </c>
      <c r="L19" s="5" t="e">
        <f aca="false">AVERAGE(IFERROR(VLOOKUP($K19,Olympiade_1!$B:$F,5,FALSE()),""),IFERROR(VLOOKUP($K19,Olympiade_2!$B:$F,5,FALSE()),""),IFERROR(VLOOKUP($K19,Olympiade_3!$B:$F,5,FALSE()),""),IFERROR(VLOOKUP($K19,Olympiade_4!$B:$F,5,FALSE()),""),IFERROR(VLOOKUP($K19,Olympiade_5!$B:$F,5,FALSE()),""),IFERROR(VLOOKUP($K19,Olympiade_6!$B:$F,5,FALSE()),""))</f>
        <v>#VALUE!</v>
      </c>
      <c r="M19" s="5" t="n">
        <f aca="false">SUMIFS(Database!B:B,Database!A:A,K19) + SUMIFS(Database!D:D,Database!A:A,K19)</f>
        <v>110</v>
      </c>
      <c r="N19" s="5" t="n">
        <f aca="false">SUMIFS(Database!B:B,Database!A:A,K19) + SUMIFS(Database!E:E,Database!A:A,K19)</f>
        <v>80</v>
      </c>
      <c r="P19" s="5" t="n">
        <f aca="false">SUMIFS(Database!B:B,Database!A:A,K19) + SUMIFS(Database!F:F,Database!A:A,K19)</f>
        <v>90</v>
      </c>
      <c r="Q19" s="5" t="e">
        <f aca="false">AVERAGE(#REF!,#REF!,#REF!)</f>
        <v>#REF!</v>
      </c>
    </row>
    <row r="20" customFormat="false" ht="15" hidden="false" customHeight="false" outlineLevel="0" collapsed="false">
      <c r="A20" s="5" t="s">
        <v>19</v>
      </c>
      <c r="B20" s="5" t="s">
        <v>81</v>
      </c>
      <c r="C20" s="5" t="n">
        <v>20</v>
      </c>
      <c r="D20" s="5" t="n">
        <v>20</v>
      </c>
      <c r="E20" s="5" t="n">
        <v>10</v>
      </c>
      <c r="F20" s="5" t="n">
        <v>20</v>
      </c>
      <c r="J20" s="5" t="n">
        <v>17</v>
      </c>
      <c r="K20" s="5" t="s">
        <v>29</v>
      </c>
      <c r="L20" s="5" t="e">
        <f aca="false">AVERAGE(IFERROR(VLOOKUP($K20,Olympiade_1!$B:$F,5,FALSE()),""),IFERROR(VLOOKUP($K20,Olympiade_2!$B:$F,5,FALSE()),""),IFERROR(VLOOKUP($K20,Olympiade_3!$B:$F,5,FALSE()),""),IFERROR(VLOOKUP($K20,Olympiade_4!$B:$F,5,FALSE()),""),IFERROR(VLOOKUP($K20,Olympiade_5!$B:$F,5,FALSE()),""),IFERROR(VLOOKUP($K20,Olympiade_6!$B:$F,5,FALSE()),""))</f>
        <v>#VALUE!</v>
      </c>
      <c r="M20" s="5" t="n">
        <f aca="false">SUMIFS(Database!B:B,Database!A:A,K20) + SUMIFS(Database!D:D,Database!A:A,K20)</f>
        <v>50</v>
      </c>
      <c r="N20" s="5" t="n">
        <f aca="false">SUMIFS(Database!B:B,Database!A:A,K20) + SUMIFS(Database!E:E,Database!A:A,K20)</f>
        <v>60</v>
      </c>
      <c r="P20" s="5" t="n">
        <f aca="false">SUMIFS(Database!B:B,Database!A:A,K20) + SUMIFS(Database!F:F,Database!A:A,K20)</f>
        <v>70</v>
      </c>
      <c r="Q20" s="5" t="e">
        <f aca="false">AVERAGE(#REF!,#REF!,#REF!)</f>
        <v>#REF!</v>
      </c>
    </row>
    <row r="21" customFormat="false" ht="15.75" hidden="false" customHeight="true" outlineLevel="0" collapsed="false">
      <c r="A21" s="5" t="s">
        <v>28</v>
      </c>
      <c r="B21" s="5" t="s">
        <v>87</v>
      </c>
      <c r="C21" s="5" t="n">
        <v>10</v>
      </c>
      <c r="D21" s="5" t="n">
        <v>40</v>
      </c>
      <c r="E21" s="5" t="n">
        <v>30</v>
      </c>
      <c r="F21" s="5" t="n">
        <v>10</v>
      </c>
      <c r="J21" s="5" t="n">
        <v>4</v>
      </c>
      <c r="K21" s="5" t="s">
        <v>11</v>
      </c>
      <c r="L21" s="5" t="n">
        <f aca="false">SUMIFS(Database!B:B,Database!A:A,K21) + SUMIFS(Database!C:C,Database!A:A,K21)</f>
        <v>210</v>
      </c>
      <c r="M21" s="5" t="n">
        <f aca="false">SUMIFS(Database!B:B,Database!A:A,K21) + SUMIFS(Database!D:D,Database!A:A,K21)</f>
        <v>220</v>
      </c>
      <c r="N21" s="5" t="n">
        <f aca="false">SUMIFS(Database!B:B,Database!A:A,K21) + SUMIFS(Database!E:E,Database!A:A,K21)</f>
        <v>220</v>
      </c>
      <c r="O21" s="5" t="n">
        <f aca="false">SUMIFS(Database!B:B,Database!A:A,K21) + SUMIFS(Database!F:F,Database!A:A,K21)</f>
        <v>240</v>
      </c>
      <c r="P21" s="5" t="n">
        <f aca="false">AVERAGE(L21,M21,N21)</f>
        <v>216.666666666667</v>
      </c>
    </row>
    <row r="22" customFormat="false" ht="15.75" hidden="false" customHeight="true" outlineLevel="0" collapsed="false">
      <c r="A22" s="5" t="s">
        <v>18</v>
      </c>
      <c r="B22" s="5" t="s">
        <v>87</v>
      </c>
      <c r="C22" s="5" t="n">
        <v>50</v>
      </c>
      <c r="D22" s="5" t="n">
        <v>20</v>
      </c>
      <c r="E22" s="5" t="n">
        <v>10</v>
      </c>
      <c r="F22" s="5" t="n">
        <v>20</v>
      </c>
      <c r="J22" s="5" t="n">
        <v>10</v>
      </c>
      <c r="K22" s="5" t="s">
        <v>13</v>
      </c>
      <c r="L22" s="5" t="n">
        <f aca="false">SUMIFS(Database!B:B,Database!A:A,K22) + SUMIFS(Database!C:C,Database!A:A,K22)</f>
        <v>160</v>
      </c>
      <c r="M22" s="5" t="n">
        <f aca="false">SUMIFS(Database!B:B,Database!A:A,K22) + SUMIFS(Database!D:D,Database!A:A,K22)</f>
        <v>200</v>
      </c>
      <c r="N22" s="5" t="n">
        <f aca="false">SUMIFS(Database!B:B,Database!A:A,K22) + SUMIFS(Database!E:E,Database!A:A,K22)</f>
        <v>230</v>
      </c>
      <c r="O22" s="5" t="n">
        <f aca="false">SUMIFS(Database!B:B,Database!A:A,K22) + SUMIFS(Database!F:F,Database!A:A,K22)</f>
        <v>210</v>
      </c>
      <c r="P22" s="5" t="n">
        <f aca="false">AVERAGE(L22,M22,N22)</f>
        <v>196.666666666667</v>
      </c>
    </row>
    <row r="23" customFormat="false" ht="15.75" hidden="false" customHeight="true" outlineLevel="0" collapsed="false">
      <c r="A23" s="5" t="s">
        <v>11</v>
      </c>
      <c r="B23" s="5" t="s">
        <v>87</v>
      </c>
      <c r="C23" s="5" t="n">
        <v>50</v>
      </c>
      <c r="D23" s="5" t="n">
        <v>20</v>
      </c>
      <c r="E23" s="5" t="n">
        <v>10</v>
      </c>
      <c r="F23" s="5" t="n">
        <v>20</v>
      </c>
      <c r="J23" s="5" t="n">
        <v>25</v>
      </c>
      <c r="K23" s="5" t="s">
        <v>32</v>
      </c>
      <c r="L23" s="5" t="n">
        <f aca="false">SUMIFS(Database!B:B,Database!A:A,K23) + SUMIFS(Database!C:C,Database!A:A,K23)</f>
        <v>60</v>
      </c>
      <c r="M23" s="5" t="n">
        <f aca="false">SUMIFS(Database!B:B,Database!A:A,K23) + SUMIFS(Database!D:D,Database!A:A,K23)</f>
        <v>60</v>
      </c>
      <c r="N23" s="5" t="n">
        <f aca="false">SUMIFS(Database!B:B,Database!A:A,K23) + SUMIFS(Database!E:E,Database!A:A,K23)</f>
        <v>50</v>
      </c>
      <c r="O23" s="5" t="n">
        <f aca="false">SUMIFS(Database!B:B,Database!A:A,K23) + SUMIFS(Database!F:F,Database!A:A,K23)</f>
        <v>50</v>
      </c>
      <c r="P23" s="5" t="n">
        <f aca="false">AVERAGE(L23,M23,N23)</f>
        <v>56.6666666666667</v>
      </c>
    </row>
    <row r="24" customFormat="false" ht="15.75" hidden="false" customHeight="true" outlineLevel="0" collapsed="false">
      <c r="A24" s="5" t="s">
        <v>9</v>
      </c>
      <c r="B24" s="5" t="s">
        <v>87</v>
      </c>
      <c r="C24" s="5" t="n">
        <v>20</v>
      </c>
      <c r="D24" s="5" t="n">
        <v>30</v>
      </c>
      <c r="E24" s="5" t="n">
        <v>50</v>
      </c>
      <c r="F24" s="5" t="n">
        <v>50</v>
      </c>
      <c r="J24" s="5" t="n">
        <v>29</v>
      </c>
      <c r="K24" s="5" t="s">
        <v>37</v>
      </c>
      <c r="L24" s="5" t="n">
        <f aca="false">SUMIFS(Database!B:B,Database!A:A,K24) + SUMIFS(Database!C:C,Database!A:A,K24)</f>
        <v>40</v>
      </c>
      <c r="M24" s="5" t="n">
        <f aca="false">SUMIFS(Database!B:B,Database!A:A,K24) + SUMIFS(Database!D:D,Database!A:A,K24)</f>
        <v>50</v>
      </c>
      <c r="N24" s="5" t="n">
        <f aca="false">SUMIFS(Database!B:B,Database!A:A,K24) + SUMIFS(Database!E:E,Database!A:A,K24)</f>
        <v>10</v>
      </c>
      <c r="O24" s="5" t="n">
        <f aca="false">SUMIFS(Database!B:B,Database!A:A,K24) + SUMIFS(Database!F:F,Database!A:A,K24)</f>
        <v>20</v>
      </c>
      <c r="P24" s="5" t="n">
        <f aca="false">AVERAGE(L24,M24,N24)</f>
        <v>33.3333333333333</v>
      </c>
    </row>
    <row r="25" customFormat="false" ht="15.75" hidden="false" customHeight="true" outlineLevel="0" collapsed="false">
      <c r="A25" s="5" t="s">
        <v>6</v>
      </c>
      <c r="B25" s="5" t="s">
        <v>87</v>
      </c>
      <c r="C25" s="5" t="n">
        <v>40</v>
      </c>
      <c r="D25" s="5" t="n">
        <v>10</v>
      </c>
      <c r="E25" s="5" t="n">
        <v>40</v>
      </c>
      <c r="F25" s="5" t="n">
        <v>30</v>
      </c>
    </row>
    <row r="26" customFormat="false" ht="15.75" hidden="false" customHeight="true" outlineLevel="0" collapsed="false">
      <c r="A26" s="5" t="s">
        <v>24</v>
      </c>
      <c r="B26" s="5" t="s">
        <v>87</v>
      </c>
      <c r="C26" s="5" t="n">
        <v>30</v>
      </c>
      <c r="D26" s="5" t="n">
        <v>50</v>
      </c>
      <c r="E26" s="5" t="n">
        <v>20</v>
      </c>
      <c r="F26" s="5" t="n">
        <v>40</v>
      </c>
    </row>
    <row r="27" customFormat="false" ht="15.75" hidden="false" customHeight="true" outlineLevel="0" collapsed="false">
      <c r="A27" s="5" t="s">
        <v>20</v>
      </c>
      <c r="B27" s="5" t="s">
        <v>87</v>
      </c>
      <c r="C27" s="5" t="n">
        <v>10</v>
      </c>
      <c r="D27" s="5" t="n">
        <v>40</v>
      </c>
      <c r="E27" s="5" t="n">
        <v>30</v>
      </c>
      <c r="F27" s="5" t="n">
        <v>10</v>
      </c>
      <c r="J27" s="5" t="n">
        <v>3</v>
      </c>
      <c r="K27" s="5" t="s">
        <v>9</v>
      </c>
      <c r="L27" s="5" t="e">
        <f aca="false">AVERAGE(IFERROR(VLOOKUP($K27,Olympiade_1!$B:$F,5,FALSE()),""),IFERROR(VLOOKUP($K27,Olympiade_2!$B:$F,5,FALSE()),""),IFERROR(VLOOKUP($K27,Olympiade_3!$B:$F,5,FALSE()),""),IFERROR(VLOOKUP($K27,Olympiade_4!$B:$F,5,FALSE()),""),IFERROR(VLOOKUP($K27,Olympiade_5!$B:$F,5,FALSE()),""),IFERROR(VLOOKUP($K27,Olympiade_6!$B:$F,5,FALSE()),""))</f>
        <v>#VALUE!</v>
      </c>
      <c r="M27" s="5" t="n">
        <f aca="false">SUMIFS(Database!B:B,Database!A:A,K27) + SUMIFS(Database!D:D,Database!A:A,K27)</f>
        <v>180</v>
      </c>
      <c r="N27" s="5" t="n">
        <f aca="false">SUMIFS(Database!B:B,Database!A:A,K27) + SUMIFS(Database!E:E,Database!A:A,K27)</f>
        <v>390</v>
      </c>
      <c r="P27" s="5" t="n">
        <f aca="false">SUMIFS(Database!B:B,Database!A:A,K27) + SUMIFS(Database!F:F,Database!A:A,K27)</f>
        <v>270</v>
      </c>
      <c r="Q27" s="5" t="e">
        <f aca="false">AVERAGE(#REF!,#REF!,#REF!)</f>
        <v>#REF!</v>
      </c>
    </row>
    <row r="28" customFormat="false" ht="15.75" hidden="false" customHeight="true" outlineLevel="0" collapsed="false">
      <c r="A28" s="5" t="s">
        <v>7</v>
      </c>
      <c r="B28" s="5" t="s">
        <v>87</v>
      </c>
      <c r="C28" s="5" t="n">
        <v>20</v>
      </c>
      <c r="D28" s="5" t="n">
        <v>30</v>
      </c>
      <c r="E28" s="5" t="n">
        <v>50</v>
      </c>
      <c r="F28" s="5" t="n">
        <v>50</v>
      </c>
      <c r="J28" s="5" t="n">
        <v>12</v>
      </c>
      <c r="K28" s="5" t="s">
        <v>17</v>
      </c>
      <c r="L28" s="5" t="e">
        <f aca="false">AVERAGE(IFERROR(VLOOKUP($K28,Olympiade_1!$B:$F,5,FALSE()),""),IFERROR(VLOOKUP($K28,Olympiade_2!$B:$F,5,FALSE()),""),IFERROR(VLOOKUP($K28,Olympiade_3!$B:$F,5,FALSE()),""),IFERROR(VLOOKUP($K28,Olympiade_4!$B:$F,5,FALSE()),""),IFERROR(VLOOKUP($K28,Olympiade_5!$B:$F,5,FALSE()),""),IFERROR(VLOOKUP($K28,Olympiade_6!$B:$F,5,FALSE()),""))</f>
        <v>#VALUE!</v>
      </c>
      <c r="M28" s="5" t="n">
        <f aca="false">SUMIFS(Database!B:B,Database!A:A,K28) + SUMIFS(Database!D:D,Database!A:A,K28)</f>
        <v>90</v>
      </c>
      <c r="N28" s="5" t="n">
        <f aca="false">SUMIFS(Database!B:B,Database!A:A,K28) + SUMIFS(Database!E:E,Database!A:A,K28)</f>
        <v>230</v>
      </c>
      <c r="P28" s="5" t="n">
        <f aca="false">SUMIFS(Database!B:B,Database!A:A,K28) + SUMIFS(Database!F:F,Database!A:A,K28)</f>
        <v>150</v>
      </c>
      <c r="Q28" s="5" t="e">
        <f aca="false">AVERAGE(#REF!,#REF!,#REF!)</f>
        <v>#REF!</v>
      </c>
    </row>
    <row r="29" customFormat="false" ht="15.75" hidden="false" customHeight="true" outlineLevel="0" collapsed="false">
      <c r="A29" s="5" t="s">
        <v>19</v>
      </c>
      <c r="B29" s="5" t="s">
        <v>87</v>
      </c>
      <c r="C29" s="5" t="n">
        <v>40</v>
      </c>
      <c r="D29" s="5" t="n">
        <v>10</v>
      </c>
      <c r="E29" s="5" t="n">
        <v>40</v>
      </c>
      <c r="F29" s="5" t="n">
        <v>30</v>
      </c>
      <c r="J29" s="5" t="n">
        <v>18</v>
      </c>
      <c r="K29" s="5" t="s">
        <v>14</v>
      </c>
      <c r="L29" s="5" t="e">
        <f aca="false">AVERAGE(IFERROR(VLOOKUP($K29,Olympiade_1!$B:$F,5,FALSE()),""),IFERROR(VLOOKUP($K29,Olympiade_2!$B:$F,5,FALSE()),""),IFERROR(VLOOKUP($K29,Olympiade_3!$B:$F,5,FALSE()),""),IFERROR(VLOOKUP($K29,Olympiade_4!$B:$F,5,FALSE()),""),IFERROR(VLOOKUP($K29,Olympiade_5!$B:$F,5,FALSE()),""),IFERROR(VLOOKUP($K29,Olympiade_6!$B:$F,5,FALSE()),""))</f>
        <v>#VALUE!</v>
      </c>
      <c r="M29" s="5" t="n">
        <f aca="false">SUMIFS(Database!B:B,Database!A:A,K29) + SUMIFS(Database!D:D,Database!A:A,K29)</f>
        <v>130</v>
      </c>
      <c r="N29" s="5" t="n">
        <f aca="false">SUMIFS(Database!B:B,Database!A:A,K29) + SUMIFS(Database!E:E,Database!A:A,K29)</f>
        <v>150</v>
      </c>
      <c r="P29" s="5" t="n">
        <f aca="false">SUMIFS(Database!B:B,Database!A:A,K29) + SUMIFS(Database!F:F,Database!A:A,K29)</f>
        <v>160</v>
      </c>
      <c r="Q29" s="5" t="e">
        <f aca="false">AVERAGE(#REF!,#REF!,#REF!)</f>
        <v>#REF!</v>
      </c>
    </row>
    <row r="30" customFormat="false" ht="15.75" hidden="false" customHeight="true" outlineLevel="0" collapsed="false">
      <c r="A30" s="5" t="s">
        <v>13</v>
      </c>
      <c r="B30" s="5" t="s">
        <v>87</v>
      </c>
      <c r="C30" s="5" t="n">
        <v>30</v>
      </c>
      <c r="D30" s="5" t="n">
        <v>50</v>
      </c>
      <c r="E30" s="5" t="n">
        <v>20</v>
      </c>
      <c r="F30" s="5" t="n">
        <v>40</v>
      </c>
      <c r="J30" s="5" t="n">
        <v>22</v>
      </c>
      <c r="K30" s="5" t="s">
        <v>33</v>
      </c>
      <c r="L30" s="5" t="e">
        <f aca="false">AVERAGE(IFERROR(VLOOKUP($K30,Olympiade_1!$B:$F,5,FALSE()),""),IFERROR(VLOOKUP($K30,Olympiade_2!$B:$F,5,FALSE()),""),IFERROR(VLOOKUP($K30,Olympiade_3!$B:$F,5,FALSE()),""),IFERROR(VLOOKUP($K30,Olympiade_4!$B:$F,5,FALSE()),""),IFERROR(VLOOKUP($K30,Olympiade_5!$B:$F,5,FALSE()),""),IFERROR(VLOOKUP($K30,Olympiade_6!$B:$F,5,FALSE()),""))</f>
        <v>#VALUE!</v>
      </c>
      <c r="M30" s="5" t="n">
        <f aca="false">SUMIFS(Database!B:B,Database!A:A,K30) + SUMIFS(Database!D:D,Database!A:A,K30)</f>
        <v>60</v>
      </c>
      <c r="N30" s="5" t="n">
        <f aca="false">SUMIFS(Database!B:B,Database!A:A,K30) + SUMIFS(Database!E:E,Database!A:A,K30)</f>
        <v>50</v>
      </c>
      <c r="P30" s="5" t="n">
        <f aca="false">SUMIFS(Database!B:B,Database!A:A,K30) + SUMIFS(Database!F:F,Database!A:A,K30)</f>
        <v>50</v>
      </c>
      <c r="Q30" s="5" t="e">
        <f aca="false">AVERAGE(#REF!,#REF!,#REF!)</f>
        <v>#REF!</v>
      </c>
    </row>
    <row r="31" customFormat="false" ht="15.75" hidden="false" customHeight="true" outlineLevel="0" collapsed="false">
      <c r="A31" s="5" t="s">
        <v>31</v>
      </c>
      <c r="B31" s="5" t="s">
        <v>88</v>
      </c>
      <c r="C31" s="5" t="n">
        <v>30</v>
      </c>
      <c r="D31" s="5" t="n">
        <v>10</v>
      </c>
      <c r="E31" s="5" t="n">
        <v>40</v>
      </c>
      <c r="F31" s="5" t="n">
        <v>20</v>
      </c>
      <c r="J31" s="5" t="n">
        <v>8</v>
      </c>
      <c r="K31" s="5" t="s">
        <v>18</v>
      </c>
      <c r="L31" s="5" t="n">
        <f aca="false">SUMIFS(Database!B:B,Database!A:A,K31) + SUMIFS(Database!C:C,Database!A:A,K31)</f>
        <v>210</v>
      </c>
      <c r="M31" s="5" t="n">
        <f aca="false">SUMIFS(Database!B:B,Database!A:A,K31) + SUMIFS(Database!D:D,Database!A:A,K31)</f>
        <v>130</v>
      </c>
      <c r="N31" s="5" t="n">
        <f aca="false">SUMIFS(Database!B:B,Database!A:A,K31) + SUMIFS(Database!E:E,Database!A:A,K31)</f>
        <v>80</v>
      </c>
      <c r="O31" s="5" t="n">
        <f aca="false">SUMIFS(Database!B:B,Database!A:A,K31) + SUMIFS(Database!F:F,Database!A:A,K31)</f>
        <v>140</v>
      </c>
      <c r="P31" s="5" t="n">
        <f aca="false">AVERAGE(L31,M31,N31)</f>
        <v>140</v>
      </c>
    </row>
    <row r="32" customFormat="false" ht="15.75" hidden="false" customHeight="true" outlineLevel="0" collapsed="false">
      <c r="A32" s="5" t="s">
        <v>17</v>
      </c>
      <c r="B32" s="5" t="s">
        <v>88</v>
      </c>
      <c r="C32" s="5" t="n">
        <v>20</v>
      </c>
      <c r="D32" s="5" t="n">
        <v>30</v>
      </c>
      <c r="E32" s="5" t="n">
        <v>50</v>
      </c>
      <c r="F32" s="5" t="n">
        <v>40</v>
      </c>
      <c r="J32" s="5" t="n">
        <v>21</v>
      </c>
      <c r="K32" s="5" t="s">
        <v>29</v>
      </c>
      <c r="L32" s="5" t="n">
        <f aca="false">SUMIFS(Database!B:B,Database!A:A,K32) + SUMIFS(Database!C:C,Database!A:A,K32)</f>
        <v>70</v>
      </c>
      <c r="M32" s="5" t="n">
        <f aca="false">SUMIFS(Database!B:B,Database!A:A,K32) + SUMIFS(Database!D:D,Database!A:A,K32)</f>
        <v>50</v>
      </c>
      <c r="N32" s="5" t="n">
        <f aca="false">SUMIFS(Database!B:B,Database!A:A,K32) + SUMIFS(Database!E:E,Database!A:A,K32)</f>
        <v>60</v>
      </c>
      <c r="O32" s="5" t="n">
        <f aca="false">SUMIFS(Database!B:B,Database!A:A,K32) + SUMIFS(Database!F:F,Database!A:A,K32)</f>
        <v>70</v>
      </c>
      <c r="P32" s="5" t="n">
        <f aca="false">AVERAGE(L32,M32,N32)</f>
        <v>60</v>
      </c>
    </row>
    <row r="33" customFormat="false" ht="15.75" hidden="false" customHeight="true" outlineLevel="0" collapsed="false">
      <c r="A33" s="5" t="s">
        <v>9</v>
      </c>
      <c r="B33" s="5" t="s">
        <v>88</v>
      </c>
      <c r="C33" s="5" t="n">
        <v>30</v>
      </c>
      <c r="D33" s="5" t="n">
        <v>10</v>
      </c>
      <c r="E33" s="5" t="n">
        <v>40</v>
      </c>
      <c r="F33" s="5" t="n">
        <v>20</v>
      </c>
      <c r="J33" s="5" t="n">
        <v>30</v>
      </c>
      <c r="K33" s="5" t="s">
        <v>39</v>
      </c>
      <c r="L33" s="5" t="n">
        <f aca="false">SUMIFS(Database!B:B,Database!A:A,K33) + SUMIFS(Database!C:C,Database!A:A,K33)</f>
        <v>10</v>
      </c>
      <c r="M33" s="5" t="n">
        <f aca="false">SUMIFS(Database!B:B,Database!A:A,K33) + SUMIFS(Database!D:D,Database!A:A,K33)</f>
        <v>20</v>
      </c>
      <c r="N33" s="5" t="n">
        <f aca="false">SUMIFS(Database!B:B,Database!A:A,K33) + SUMIFS(Database!E:E,Database!A:A,K33)</f>
        <v>20</v>
      </c>
      <c r="O33" s="5" t="n">
        <f aca="false">SUMIFS(Database!B:B,Database!A:A,K33) + SUMIFS(Database!F:F,Database!A:A,K33)</f>
        <v>10</v>
      </c>
      <c r="P33" s="5" t="n">
        <f aca="false">AVERAGE(L33,M33,N33)</f>
        <v>16.6666666666667</v>
      </c>
    </row>
    <row r="34" customFormat="false" ht="15.75" hidden="false" customHeight="true" outlineLevel="0" collapsed="false">
      <c r="A34" s="5" t="s">
        <v>8</v>
      </c>
      <c r="B34" s="5" t="s">
        <v>88</v>
      </c>
      <c r="C34" s="5" t="n">
        <v>40</v>
      </c>
      <c r="D34" s="5" t="n">
        <v>50</v>
      </c>
      <c r="E34" s="5" t="n">
        <v>10</v>
      </c>
      <c r="F34" s="5" t="n">
        <v>40</v>
      </c>
    </row>
    <row r="35" customFormat="false" ht="15.75" hidden="false" customHeight="true" outlineLevel="0" collapsed="false">
      <c r="A35" s="5" t="s">
        <v>6</v>
      </c>
      <c r="B35" s="5" t="s">
        <v>88</v>
      </c>
      <c r="C35" s="5" t="n">
        <v>20</v>
      </c>
      <c r="D35" s="5" t="n">
        <v>30</v>
      </c>
      <c r="E35" s="5" t="n">
        <v>50</v>
      </c>
      <c r="F35" s="5" t="n">
        <v>40</v>
      </c>
    </row>
    <row r="36" customFormat="false" ht="15.75" hidden="false" customHeight="true" outlineLevel="0" collapsed="false">
      <c r="A36" s="5" t="s">
        <v>26</v>
      </c>
      <c r="B36" s="5" t="s">
        <v>88</v>
      </c>
      <c r="C36" s="5" t="n">
        <v>40</v>
      </c>
      <c r="D36" s="5" t="n">
        <v>50</v>
      </c>
      <c r="E36" s="5" t="n">
        <v>10</v>
      </c>
      <c r="F36" s="5" t="n">
        <v>40</v>
      </c>
      <c r="J36" s="5" t="n">
        <v>1</v>
      </c>
      <c r="K36" s="5" t="s">
        <v>7</v>
      </c>
      <c r="L36" s="5" t="n">
        <f aca="false">AVERAGE(IFERROR(VLOOKUP($K36,Olympiade_1!$B:$F,5,FALSE()),""),IFERROR(VLOOKUP($K36,Olympiade_2!$B:$F,5,FALSE()),""),IFERROR(VLOOKUP($K36,Olympiade_3!$B:$F,5,FALSE()),""),IFERROR(VLOOKUP($K36,Olympiade_4!$B:$F,5,FALSE()),""),IFERROR(VLOOKUP($K36,Olympiade_5!$B:$F,5,FALSE()),""),IFERROR(VLOOKUP($K36,Olympiade_6!$B:$F,5,FALSE()),""))</f>
        <v>3.33333333333333</v>
      </c>
      <c r="M36" s="5" t="n">
        <f aca="false">SUMIFS(Database!B:B,Database!A:A,K36) + SUMIFS(Database!D:D,Database!A:A,K36)</f>
        <v>380</v>
      </c>
      <c r="N36" s="5" t="n">
        <f aca="false">SUMIFS(Database!B:B,Database!A:A,K36) + SUMIFS(Database!E:E,Database!A:A,K36)</f>
        <v>290</v>
      </c>
      <c r="P36" s="5" t="n">
        <f aca="false">SUMIFS(Database!B:B,Database!A:A,K36) + SUMIFS(Database!F:F,Database!A:A,K36)</f>
        <v>340</v>
      </c>
      <c r="Q36" s="5" t="e">
        <f aca="false">AVERAGE(#REF!,#REF!,#REF!)</f>
        <v>#REF!</v>
      </c>
    </row>
    <row r="37" customFormat="false" ht="15.75" hidden="false" customHeight="true" outlineLevel="0" collapsed="false">
      <c r="A37" s="5" t="s">
        <v>25</v>
      </c>
      <c r="B37" s="5" t="s">
        <v>88</v>
      </c>
      <c r="C37" s="5" t="n">
        <v>10</v>
      </c>
      <c r="D37" s="5" t="n">
        <v>20</v>
      </c>
      <c r="E37" s="5" t="n">
        <v>30</v>
      </c>
      <c r="F37" s="5" t="n">
        <v>10</v>
      </c>
      <c r="J37" s="5" t="n">
        <v>8</v>
      </c>
      <c r="K37" s="5" t="s">
        <v>13</v>
      </c>
      <c r="L37" s="5" t="e">
        <f aca="false">AVERAGE(IFERROR(VLOOKUP($K37,Olympiade_1!$B:$F,5,FALSE()),""),IFERROR(VLOOKUP($K37,Olympiade_2!$B:$F,5,FALSE()),""),IFERROR(VLOOKUP($K37,Olympiade_3!$B:$F,5,FALSE()),""),IFERROR(VLOOKUP($K37,Olympiade_4!$B:$F,5,FALSE()),""),IFERROR(VLOOKUP($K37,Olympiade_5!$B:$F,5,FALSE()),""),IFERROR(VLOOKUP($K37,Olympiade_6!$B:$F,5,FALSE()),""))</f>
        <v>#VALUE!</v>
      </c>
      <c r="M37" s="5" t="n">
        <f aca="false">SUMIFS(Database!B:B,Database!A:A,K37) + SUMIFS(Database!D:D,Database!A:A,K37)</f>
        <v>200</v>
      </c>
      <c r="N37" s="5" t="n">
        <f aca="false">SUMIFS(Database!B:B,Database!A:A,K37) + SUMIFS(Database!E:E,Database!A:A,K37)</f>
        <v>230</v>
      </c>
      <c r="P37" s="5" t="n">
        <f aca="false">SUMIFS(Database!B:B,Database!A:A,K37) + SUMIFS(Database!F:F,Database!A:A,K37)</f>
        <v>210</v>
      </c>
      <c r="Q37" s="5" t="e">
        <f aca="false">AVERAGE(#REF!,#REF!,#REF!)</f>
        <v>#REF!</v>
      </c>
    </row>
    <row r="38" customFormat="false" ht="15.75" hidden="false" customHeight="true" outlineLevel="0" collapsed="false">
      <c r="A38" s="5" t="s">
        <v>7</v>
      </c>
      <c r="B38" s="5" t="s">
        <v>88</v>
      </c>
      <c r="C38" s="5" t="n">
        <v>50</v>
      </c>
      <c r="D38" s="5" t="n">
        <v>40</v>
      </c>
      <c r="E38" s="5" t="n">
        <v>20</v>
      </c>
      <c r="F38" s="5" t="n">
        <v>50</v>
      </c>
      <c r="J38" s="5" t="n">
        <v>13</v>
      </c>
      <c r="K38" s="5" t="s">
        <v>24</v>
      </c>
      <c r="L38" s="5" t="e">
        <f aca="false">AVERAGE(IFERROR(VLOOKUP($K38,Olympiade_1!$B:$F,5,FALSE()),""),IFERROR(VLOOKUP($K38,Olympiade_2!$B:$F,5,FALSE()),""),IFERROR(VLOOKUP($K38,Olympiade_3!$B:$F,5,FALSE()),""),IFERROR(VLOOKUP($K38,Olympiade_4!$B:$F,5,FALSE()),""),IFERROR(VLOOKUP($K38,Olympiade_5!$B:$F,5,FALSE()),""),IFERROR(VLOOKUP($K38,Olympiade_6!$B:$F,5,FALSE()),""))</f>
        <v>#VALUE!</v>
      </c>
      <c r="M38" s="5" t="n">
        <f aca="false">SUMIFS(Database!B:B,Database!A:A,K38) + SUMIFS(Database!D:D,Database!A:A,K38)</f>
        <v>180</v>
      </c>
      <c r="N38" s="5" t="n">
        <f aca="false">SUMIFS(Database!B:B,Database!A:A,K38) + SUMIFS(Database!E:E,Database!A:A,K38)</f>
        <v>60</v>
      </c>
      <c r="P38" s="5" t="n">
        <f aca="false">SUMIFS(Database!B:B,Database!A:A,K38) + SUMIFS(Database!F:F,Database!A:A,K38)</f>
        <v>90</v>
      </c>
      <c r="Q38" s="5" t="e">
        <f aca="false">AVERAGE(#REF!,#REF!,#REF!)</f>
        <v>#REF!</v>
      </c>
    </row>
    <row r="39" customFormat="false" ht="15.75" hidden="false" customHeight="true" outlineLevel="0" collapsed="false">
      <c r="A39" s="5" t="s">
        <v>19</v>
      </c>
      <c r="B39" s="5" t="s">
        <v>88</v>
      </c>
      <c r="C39" s="5" t="n">
        <v>10</v>
      </c>
      <c r="D39" s="5" t="n">
        <v>20</v>
      </c>
      <c r="E39" s="5" t="n">
        <v>30</v>
      </c>
      <c r="F39" s="5" t="n">
        <v>10</v>
      </c>
      <c r="J39" s="5" t="n">
        <v>19</v>
      </c>
      <c r="K39" s="5" t="s">
        <v>20</v>
      </c>
      <c r="L39" s="5" t="e">
        <f aca="false">AVERAGE(IFERROR(VLOOKUP($K39,Olympiade_1!$B:$F,5,FALSE()),""),IFERROR(VLOOKUP($K39,Olympiade_2!$B:$F,5,FALSE()),""),IFERROR(VLOOKUP($K39,Olympiade_3!$B:$F,5,FALSE()),""),IFERROR(VLOOKUP($K39,Olympiade_4!$B:$F,5,FALSE()),""),IFERROR(VLOOKUP($K39,Olympiade_5!$B:$F,5,FALSE()),""),IFERROR(VLOOKUP($K39,Olympiade_6!$B:$F,5,FALSE()),""))</f>
        <v>#VALUE!</v>
      </c>
      <c r="M39" s="5" t="n">
        <f aca="false">SUMIFS(Database!B:B,Database!A:A,K39) + SUMIFS(Database!D:D,Database!A:A,K39)</f>
        <v>180</v>
      </c>
      <c r="N39" s="5" t="n">
        <f aca="false">SUMIFS(Database!B:B,Database!A:A,K39) + SUMIFS(Database!E:E,Database!A:A,K39)</f>
        <v>150</v>
      </c>
      <c r="P39" s="5" t="n">
        <f aca="false">SUMIFS(Database!B:B,Database!A:A,K39) + SUMIFS(Database!F:F,Database!A:A,K39)</f>
        <v>120</v>
      </c>
      <c r="Q39" s="5" t="e">
        <f aca="false">AVERAGE(#REF!,#REF!,#REF!)</f>
        <v>#REF!</v>
      </c>
    </row>
    <row r="40" customFormat="false" ht="15.75" hidden="false" customHeight="true" outlineLevel="0" collapsed="false">
      <c r="A40" s="5" t="s">
        <v>10</v>
      </c>
      <c r="B40" s="5" t="s">
        <v>88</v>
      </c>
      <c r="C40" s="5" t="n">
        <v>50</v>
      </c>
      <c r="D40" s="5" t="n">
        <v>40</v>
      </c>
      <c r="E40" s="5" t="n">
        <v>20</v>
      </c>
      <c r="F40" s="5" t="n">
        <v>50</v>
      </c>
      <c r="J40" s="5" t="n">
        <v>27</v>
      </c>
      <c r="K40" s="5" t="s">
        <v>27</v>
      </c>
      <c r="L40" s="5" t="e">
        <f aca="false">AVERAGE(IFERROR(VLOOKUP($K40,Olympiade_1!$B:$F,5,FALSE()),""),IFERROR(VLOOKUP($K40,Olympiade_2!$B:$F,5,FALSE()),""),IFERROR(VLOOKUP($K40,Olympiade_3!$B:$F,5,FALSE()),""),IFERROR(VLOOKUP($K40,Olympiade_4!$B:$F,5,FALSE()),""),IFERROR(VLOOKUP($K40,Olympiade_5!$B:$F,5,FALSE()),""),IFERROR(VLOOKUP($K40,Olympiade_6!$B:$F,5,FALSE()),""))</f>
        <v>#VALUE!</v>
      </c>
      <c r="M40" s="5" t="n">
        <f aca="false">SUMIFS(Database!B:B,Database!A:A,K40) + SUMIFS(Database!D:D,Database!A:A,K40)</f>
        <v>90</v>
      </c>
      <c r="N40" s="5" t="n">
        <f aca="false">SUMIFS(Database!B:B,Database!A:A,K40) + SUMIFS(Database!E:E,Database!A:A,K40)</f>
        <v>30</v>
      </c>
      <c r="P40" s="5" t="n">
        <f aca="false">SUMIFS(Database!B:B,Database!A:A,K40) + SUMIFS(Database!F:F,Database!A:A,K40)</f>
        <v>80</v>
      </c>
      <c r="Q40" s="5" t="e">
        <f aca="false">AVERAGE(#REF!,#REF!,#REF!)</f>
        <v>#REF!</v>
      </c>
    </row>
    <row r="41" customFormat="false" ht="15.75" hidden="false" customHeight="true" outlineLevel="0" collapsed="false">
      <c r="A41" s="5" t="s">
        <v>22</v>
      </c>
      <c r="B41" s="5" t="s">
        <v>89</v>
      </c>
      <c r="C41" s="5" t="n">
        <v>40</v>
      </c>
      <c r="D41" s="5" t="n">
        <v>20</v>
      </c>
      <c r="E41" s="5" t="n">
        <v>70</v>
      </c>
      <c r="F41" s="5" t="n">
        <v>40</v>
      </c>
    </row>
    <row r="42" customFormat="false" ht="15.75" hidden="false" customHeight="true" outlineLevel="0" collapsed="false">
      <c r="A42" s="5" t="s">
        <v>29</v>
      </c>
      <c r="B42" s="5" t="s">
        <v>89</v>
      </c>
      <c r="C42" s="5" t="n">
        <v>70</v>
      </c>
      <c r="D42" s="5" t="n">
        <v>50</v>
      </c>
      <c r="E42" s="5" t="n">
        <v>60</v>
      </c>
      <c r="F42" s="5" t="n">
        <v>70</v>
      </c>
      <c r="J42" s="5" t="n">
        <v>2</v>
      </c>
      <c r="K42" s="5" t="s">
        <v>6</v>
      </c>
      <c r="L42" s="5" t="n">
        <f aca="false">SUMIFS(Database!B:B,Database!A:A,K42) + SUMIFS(Database!C:C,Database!A:A,K42)</f>
        <v>340</v>
      </c>
      <c r="M42" s="5" t="n">
        <f aca="false">SUMIFS(Database!B:B,Database!A:A,K42) + SUMIFS(Database!D:D,Database!A:A,K42)</f>
        <v>380</v>
      </c>
      <c r="N42" s="5" t="n">
        <f aca="false">SUMIFS(Database!B:B,Database!A:A,K42) + SUMIFS(Database!E:E,Database!A:A,K42)</f>
        <v>290</v>
      </c>
      <c r="O42" s="5" t="n">
        <f aca="false">SUMIFS(Database!B:B,Database!A:A,K41) + SUMIFS(Database!F:F,Database!A:A,K41)</f>
        <v>0</v>
      </c>
      <c r="P42" s="5" t="n">
        <f aca="false">AVERAGE(L42,M42,N42)</f>
        <v>336.666666666667</v>
      </c>
    </row>
    <row r="43" customFormat="false" ht="15.75" hidden="false" customHeight="true" outlineLevel="0" collapsed="false">
      <c r="A43" s="5" t="s">
        <v>18</v>
      </c>
      <c r="B43" s="5" t="s">
        <v>89</v>
      </c>
      <c r="C43" s="5" t="n">
        <v>80</v>
      </c>
      <c r="D43" s="5" t="n">
        <v>80</v>
      </c>
      <c r="E43" s="5" t="n">
        <v>20</v>
      </c>
      <c r="F43" s="5" t="n">
        <v>70</v>
      </c>
      <c r="J43" s="5" t="n">
        <v>11</v>
      </c>
      <c r="K43" s="5" t="s">
        <v>19</v>
      </c>
      <c r="L43" s="5" t="n">
        <f aca="false">SUMIFS(Database!B:B,Database!A:A,K43) + SUMIFS(Database!C:C,Database!A:A,K43)</f>
        <v>170</v>
      </c>
      <c r="M43" s="5" t="n">
        <f aca="false">SUMIFS(Database!B:B,Database!A:A,K43) + SUMIFS(Database!D:D,Database!A:A,K43)</f>
        <v>140</v>
      </c>
      <c r="N43" s="5" t="n">
        <f aca="false">SUMIFS(Database!B:B,Database!A:A,K43) + SUMIFS(Database!E:E,Database!A:A,K43)</f>
        <v>190</v>
      </c>
      <c r="O43" s="5" t="n">
        <f aca="false">SUMIFS(Database!B:B,Database!A:A,K43) + SUMIFS(Database!F:F,Database!A:A,K43)</f>
        <v>140</v>
      </c>
      <c r="P43" s="5" t="n">
        <f aca="false">AVERAGE(L43,M43,N43)</f>
        <v>166.666666666667</v>
      </c>
    </row>
    <row r="44" customFormat="false" ht="15.75" hidden="false" customHeight="true" outlineLevel="0" collapsed="false">
      <c r="A44" s="5" t="s">
        <v>40</v>
      </c>
      <c r="B44" s="5" t="s">
        <v>89</v>
      </c>
      <c r="C44" s="5" t="n">
        <v>10</v>
      </c>
      <c r="D44" s="5" t="n">
        <v>10</v>
      </c>
      <c r="E44" s="5" t="n">
        <v>10</v>
      </c>
      <c r="F44" s="5" t="n">
        <v>10</v>
      </c>
      <c r="J44" s="5" t="n">
        <v>14</v>
      </c>
      <c r="K44" s="5" t="s">
        <v>23</v>
      </c>
      <c r="L44" s="5" t="n">
        <f aca="false">SUMIFS(Database!B:B,Database!A:A,K44) + SUMIFS(Database!C:C,Database!A:A,K44)</f>
        <v>50</v>
      </c>
      <c r="M44" s="5" t="n">
        <f aca="false">SUMIFS(Database!B:B,Database!A:A,K44) + SUMIFS(Database!D:D,Database!A:A,K44)</f>
        <v>110</v>
      </c>
      <c r="N44" s="5" t="n">
        <f aca="false">SUMIFS(Database!B:B,Database!A:A,K44) + SUMIFS(Database!E:E,Database!A:A,K44)</f>
        <v>80</v>
      </c>
      <c r="O44" s="5" t="n">
        <f aca="false">SUMIFS(Database!B:B,Database!A:A,K44) + SUMIFS(Database!F:F,Database!A:A,K44)</f>
        <v>90</v>
      </c>
      <c r="P44" s="5" t="n">
        <f aca="false">AVERAGE(L44,M44,N44)</f>
        <v>80</v>
      </c>
    </row>
    <row r="45" customFormat="false" ht="15.75" hidden="false" customHeight="true" outlineLevel="0" collapsed="false">
      <c r="A45" s="5" t="s">
        <v>12</v>
      </c>
      <c r="B45" s="5" t="s">
        <v>89</v>
      </c>
      <c r="C45" s="5" t="n">
        <v>40</v>
      </c>
      <c r="D45" s="5" t="n">
        <v>20</v>
      </c>
      <c r="E45" s="5" t="n">
        <v>70</v>
      </c>
      <c r="F45" s="5" t="n">
        <v>40</v>
      </c>
      <c r="J45" s="5" t="n">
        <v>18</v>
      </c>
      <c r="K45" s="5" t="s">
        <v>26</v>
      </c>
      <c r="L45" s="5" t="n">
        <f aca="false">SUMIFS(Database!B:B,Database!A:A,K45) + SUMIFS(Database!C:C,Database!A:A,K45)</f>
        <v>80</v>
      </c>
      <c r="M45" s="5" t="n">
        <f aca="false">SUMIFS(Database!B:B,Database!A:A,K45) + SUMIFS(Database!D:D,Database!A:A,K45)</f>
        <v>90</v>
      </c>
      <c r="N45" s="5" t="n">
        <f aca="false">SUMIFS(Database!B:B,Database!A:A,K45) + SUMIFS(Database!E:E,Database!A:A,K45)</f>
        <v>40</v>
      </c>
      <c r="O45" s="5" t="n">
        <f aca="false">SUMIFS(Database!B:B,Database!A:A,K45) + SUMIFS(Database!F:F,Database!A:A,K45)</f>
        <v>80</v>
      </c>
      <c r="P45" s="5" t="n">
        <f aca="false">AVERAGE(L45,M45,N45)</f>
        <v>70</v>
      </c>
    </row>
    <row r="46" customFormat="false" ht="15.75" hidden="false" customHeight="true" outlineLevel="0" collapsed="false">
      <c r="A46" s="5" t="s">
        <v>11</v>
      </c>
      <c r="B46" s="5" t="s">
        <v>89</v>
      </c>
      <c r="C46" s="5" t="n">
        <v>50</v>
      </c>
      <c r="D46" s="5" t="n">
        <v>70</v>
      </c>
      <c r="E46" s="5" t="n">
        <v>80</v>
      </c>
      <c r="F46" s="5" t="n">
        <v>80</v>
      </c>
      <c r="J46" s="5" t="n">
        <v>26</v>
      </c>
      <c r="K46" s="5" t="s">
        <v>33</v>
      </c>
      <c r="L46" s="5" t="n">
        <f aca="false">SUMIFS(Database!B:B,Database!A:A,K46) + SUMIFS(Database!C:C,Database!A:A,K46)</f>
        <v>60</v>
      </c>
      <c r="M46" s="5" t="n">
        <f aca="false">SUMIFS(Database!B:B,Database!A:A,K46) + SUMIFS(Database!D:D,Database!A:A,K46)</f>
        <v>60</v>
      </c>
      <c r="N46" s="5" t="n">
        <f aca="false">SUMIFS(Database!B:B,Database!A:A,K46) + SUMIFS(Database!E:E,Database!A:A,K46)</f>
        <v>50</v>
      </c>
      <c r="O46" s="5" t="n">
        <f aca="false">SUMIFS(Database!B:B,Database!A:A,K46) + SUMIFS(Database!F:F,Database!A:A,K46)</f>
        <v>50</v>
      </c>
      <c r="P46" s="5" t="n">
        <f aca="false">AVERAGE(L46,M46,N46)</f>
        <v>56.6666666666667</v>
      </c>
    </row>
    <row r="47" customFormat="false" ht="15.75" hidden="false" customHeight="true" outlineLevel="0" collapsed="false">
      <c r="A47" s="5" t="s">
        <v>9</v>
      </c>
      <c r="B47" s="5" t="s">
        <v>89</v>
      </c>
      <c r="C47" s="5" t="n">
        <v>50</v>
      </c>
      <c r="D47" s="5" t="n">
        <v>70</v>
      </c>
      <c r="E47" s="5" t="n">
        <v>80</v>
      </c>
      <c r="F47" s="5" t="n">
        <v>80</v>
      </c>
      <c r="J47" s="5" t="n">
        <v>31</v>
      </c>
      <c r="K47" s="5" t="s">
        <v>38</v>
      </c>
      <c r="L47" s="5" t="n">
        <f aca="false">SUMIFS(Database!B:B,Database!A:A,K47) + SUMIFS(Database!C:C,Database!A:A,K47)</f>
        <v>20</v>
      </c>
      <c r="M47" s="5" t="n">
        <f aca="false">SUMIFS(Database!B:B,Database!A:A,K47) + SUMIFS(Database!D:D,Database!A:A,K47)</f>
        <v>50</v>
      </c>
      <c r="N47" s="5" t="n">
        <f aca="false">SUMIFS(Database!B:B,Database!A:A,K47) + SUMIFS(Database!E:E,Database!A:A,K47)</f>
        <v>40</v>
      </c>
      <c r="O47" s="5" t="n">
        <f aca="false">SUMIFS(Database!B:B,Database!A:A,K47) + SUMIFS(Database!F:F,Database!A:A,K47)</f>
        <v>20</v>
      </c>
      <c r="P47" s="5" t="n">
        <f aca="false">AVERAGE(L47,M47,N47)</f>
        <v>36.6666666666667</v>
      </c>
    </row>
    <row r="48" customFormat="false" ht="15.75" hidden="false" customHeight="true" outlineLevel="0" collapsed="false">
      <c r="A48" s="5" t="s">
        <v>8</v>
      </c>
      <c r="B48" s="5" t="s">
        <v>89</v>
      </c>
      <c r="C48" s="5" t="n">
        <v>30</v>
      </c>
      <c r="D48" s="5" t="n">
        <v>30</v>
      </c>
      <c r="E48" s="5" t="n">
        <v>40</v>
      </c>
      <c r="F48" s="5" t="n">
        <v>30</v>
      </c>
    </row>
    <row r="49" customFormat="false" ht="15.75" hidden="false" customHeight="true" outlineLevel="0" collapsed="false">
      <c r="A49" s="5" t="s">
        <v>32</v>
      </c>
      <c r="B49" s="5" t="s">
        <v>89</v>
      </c>
      <c r="C49" s="5" t="n">
        <v>60</v>
      </c>
      <c r="D49" s="5" t="n">
        <v>60</v>
      </c>
      <c r="E49" s="5" t="n">
        <v>50</v>
      </c>
      <c r="F49" s="5" t="n">
        <v>50</v>
      </c>
    </row>
    <row r="50" customFormat="false" ht="15.75" hidden="false" customHeight="true" outlineLevel="0" collapsed="false">
      <c r="A50" s="5" t="s">
        <v>6</v>
      </c>
      <c r="B50" s="5" t="s">
        <v>89</v>
      </c>
      <c r="C50" s="5" t="n">
        <v>80</v>
      </c>
      <c r="D50" s="5" t="n">
        <v>80</v>
      </c>
      <c r="E50" s="5" t="n">
        <v>20</v>
      </c>
      <c r="F50" s="5" t="n">
        <v>70</v>
      </c>
    </row>
    <row r="51" customFormat="false" ht="15.75" hidden="false" customHeight="true" outlineLevel="0" collapsed="false">
      <c r="A51" s="5" t="s">
        <v>33</v>
      </c>
      <c r="B51" s="5" t="s">
        <v>89</v>
      </c>
      <c r="C51" s="5" t="n">
        <v>60</v>
      </c>
      <c r="D51" s="5" t="n">
        <v>60</v>
      </c>
      <c r="E51" s="5" t="n">
        <v>50</v>
      </c>
      <c r="F51" s="5" t="n">
        <v>50</v>
      </c>
    </row>
    <row r="52" customFormat="false" ht="15.75" hidden="false" customHeight="true" outlineLevel="0" collapsed="false">
      <c r="A52" s="5" t="s">
        <v>20</v>
      </c>
      <c r="B52" s="5" t="s">
        <v>89</v>
      </c>
      <c r="C52" s="5" t="n">
        <v>20</v>
      </c>
      <c r="D52" s="5" t="n">
        <v>40</v>
      </c>
      <c r="E52" s="5" t="n">
        <v>30</v>
      </c>
      <c r="F52" s="5" t="n">
        <v>20</v>
      </c>
      <c r="J52" s="5" t="n">
        <v>4</v>
      </c>
      <c r="K52" s="5" t="s">
        <v>10</v>
      </c>
      <c r="L52" s="5" t="e">
        <f aca="false">AVERAGE(IFERROR(VLOOKUP($K52,Olympiade_1!$B:$F,5,FALSE()),""),IFERROR(VLOOKUP($K52,Olympiade_2!$B:$F,5,FALSE()),""),IFERROR(VLOOKUP($K52,Olympiade_3!$B:$F,5,FALSE()),""),IFERROR(VLOOKUP($K52,Olympiade_4!$B:$F,5,FALSE()),""),IFERROR(VLOOKUP($K52,Olympiade_5!$B:$F,5,FALSE()),""),IFERROR(VLOOKUP($K52,Olympiade_6!$B:$F,5,FALSE()),""))</f>
        <v>#VALUE!</v>
      </c>
      <c r="M52" s="5" t="n">
        <f aca="false">SUMIFS(Database!B:B,Database!A:A,K52) + SUMIFS(Database!D:D,Database!A:A,K52)</f>
        <v>180</v>
      </c>
      <c r="N52" s="5" t="n">
        <f aca="false">SUMIFS(Database!B:B,Database!A:A,K52) + SUMIFS(Database!E:E,Database!A:A,K52)</f>
        <v>240</v>
      </c>
      <c r="P52" s="5" t="n">
        <f aca="false">SUMIFS(Database!B:B,Database!A:A,K52) + SUMIFS(Database!F:F,Database!A:A,K52)</f>
        <v>260</v>
      </c>
      <c r="Q52" s="5" t="e">
        <f aca="false">AVERAGE(#REF!,#REF!,#REF!)</f>
        <v>#REF!</v>
      </c>
    </row>
    <row r="53" customFormat="false" ht="15.75" hidden="false" customHeight="true" outlineLevel="0" collapsed="false">
      <c r="A53" s="5" t="s">
        <v>7</v>
      </c>
      <c r="B53" s="5" t="s">
        <v>89</v>
      </c>
      <c r="C53" s="5" t="n">
        <v>20</v>
      </c>
      <c r="D53" s="5" t="n">
        <v>40</v>
      </c>
      <c r="E53" s="5" t="n">
        <v>30</v>
      </c>
      <c r="F53" s="5" t="n">
        <v>20</v>
      </c>
      <c r="J53" s="5" t="n">
        <v>14</v>
      </c>
      <c r="K53" s="5" t="s">
        <v>26</v>
      </c>
      <c r="L53" s="5" t="e">
        <f aca="false">AVERAGE(IFERROR(VLOOKUP($K53,Olympiade_1!$B:$F,5,FALSE()),""),IFERROR(VLOOKUP($K53,Olympiade_2!$B:$F,5,FALSE()),""),IFERROR(VLOOKUP($K53,Olympiade_3!$B:$F,5,FALSE()),""),IFERROR(VLOOKUP($K53,Olympiade_4!$B:$F,5,FALSE()),""),IFERROR(VLOOKUP($K53,Olympiade_5!$B:$F,5,FALSE()),""),IFERROR(VLOOKUP($K53,Olympiade_6!$B:$F,5,FALSE()),""))</f>
        <v>#VALUE!</v>
      </c>
      <c r="M53" s="5" t="n">
        <f aca="false">SUMIFS(Database!B:B,Database!A:A,K53) + SUMIFS(Database!D:D,Database!A:A,K53)</f>
        <v>90</v>
      </c>
      <c r="N53" s="5" t="n">
        <f aca="false">SUMIFS(Database!B:B,Database!A:A,K53) + SUMIFS(Database!E:E,Database!A:A,K53)</f>
        <v>40</v>
      </c>
      <c r="P53" s="5" t="n">
        <f aca="false">SUMIFS(Database!B:B,Database!A:A,K53) + SUMIFS(Database!F:F,Database!A:A,K53)</f>
        <v>80</v>
      </c>
      <c r="Q53" s="5" t="e">
        <f aca="false">AVERAGE(#REF!,#REF!,#REF!)</f>
        <v>#REF!</v>
      </c>
    </row>
    <row r="54" customFormat="false" ht="15.75" hidden="false" customHeight="true" outlineLevel="0" collapsed="false">
      <c r="A54" s="5" t="s">
        <v>19</v>
      </c>
      <c r="B54" s="5" t="s">
        <v>89</v>
      </c>
      <c r="C54" s="5" t="n">
        <v>10</v>
      </c>
      <c r="D54" s="5" t="n">
        <v>10</v>
      </c>
      <c r="E54" s="5" t="n">
        <v>10</v>
      </c>
      <c r="F54" s="5" t="n">
        <v>10</v>
      </c>
      <c r="J54" s="5" t="n">
        <v>20</v>
      </c>
      <c r="K54" s="5" t="s">
        <v>28</v>
      </c>
      <c r="L54" s="5" t="e">
        <f aca="false">AVERAGE(IFERROR(VLOOKUP($K54,Olympiade_1!$B:$F,5,FALSE()),""),IFERROR(VLOOKUP($K54,Olympiade_2!$B:$F,5,FALSE()),""),IFERROR(VLOOKUP($K54,Olympiade_3!$B:$F,5,FALSE()),""),IFERROR(VLOOKUP($K54,Olympiade_4!$B:$F,5,FALSE()),""),IFERROR(VLOOKUP($K54,Olympiade_5!$B:$F,5,FALSE()),""),IFERROR(VLOOKUP($K54,Olympiade_6!$B:$F,5,FALSE()),""))</f>
        <v>#VALUE!</v>
      </c>
      <c r="M54" s="5" t="n">
        <f aca="false">SUMIFS(Database!B:B,Database!A:A,K54) + SUMIFS(Database!D:D,Database!A:A,K54)</f>
        <v>120</v>
      </c>
      <c r="N54" s="5" t="n">
        <f aca="false">SUMIFS(Database!B:B,Database!A:A,K54) + SUMIFS(Database!E:E,Database!A:A,K54)</f>
        <v>80</v>
      </c>
      <c r="P54" s="5" t="n">
        <f aca="false">SUMIFS(Database!B:B,Database!A:A,K54) + SUMIFS(Database!F:F,Database!A:A,K54)</f>
        <v>70</v>
      </c>
      <c r="Q54" s="5" t="e">
        <f aca="false">AVERAGE(#REF!,#REF!,#REF!)</f>
        <v>#REF!</v>
      </c>
    </row>
    <row r="55" customFormat="false" ht="15.75" hidden="false" customHeight="true" outlineLevel="0" collapsed="false">
      <c r="A55" s="5" t="s">
        <v>13</v>
      </c>
      <c r="B55" s="5" t="s">
        <v>89</v>
      </c>
      <c r="C55" s="5" t="n">
        <v>30</v>
      </c>
      <c r="D55" s="5" t="n">
        <v>30</v>
      </c>
      <c r="E55" s="5" t="n">
        <v>40</v>
      </c>
      <c r="F55" s="5" t="n">
        <v>30</v>
      </c>
      <c r="J55" s="5" t="n">
        <v>23</v>
      </c>
      <c r="K55" s="5" t="s">
        <v>31</v>
      </c>
      <c r="L55" s="5" t="e">
        <f aca="false">AVERAGE(IFERROR(VLOOKUP($K55,Olympiade_1!$B:$F,5,FALSE()),""),IFERROR(VLOOKUP($K55,Olympiade_2!$B:$F,5,FALSE()),""),IFERROR(VLOOKUP($K55,Olympiade_3!$B:$F,5,FALSE()),""),IFERROR(VLOOKUP($K55,Olympiade_4!$B:$F,5,FALSE()),""),IFERROR(VLOOKUP($K55,Olympiade_5!$B:$F,5,FALSE()),""),IFERROR(VLOOKUP($K55,Olympiade_6!$B:$F,5,FALSE()),""))</f>
        <v>#VALUE!</v>
      </c>
      <c r="M55" s="5" t="n">
        <f aca="false">SUMIFS(Database!B:B,Database!A:A,K55) + SUMIFS(Database!D:D,Database!A:A,K55)</f>
        <v>40</v>
      </c>
      <c r="N55" s="5" t="n">
        <f aca="false">SUMIFS(Database!B:B,Database!A:A,K55) + SUMIFS(Database!E:E,Database!A:A,K55)</f>
        <v>60</v>
      </c>
      <c r="P55" s="5" t="n">
        <f aca="false">SUMIFS(Database!B:B,Database!A:A,K55) + SUMIFS(Database!F:F,Database!A:A,K55)</f>
        <v>50</v>
      </c>
      <c r="Q55" s="5" t="e">
        <f aca="false">AVERAGE(#REF!,#REF!,#REF!)</f>
        <v>#REF!</v>
      </c>
    </row>
    <row r="56" customFormat="false" ht="15.75" hidden="false" customHeight="true" outlineLevel="0" collapsed="false">
      <c r="A56" s="5" t="s">
        <v>10</v>
      </c>
      <c r="B56" s="5" t="s">
        <v>89</v>
      </c>
      <c r="C56" s="5" t="n">
        <v>70</v>
      </c>
      <c r="D56" s="5" t="n">
        <v>50</v>
      </c>
      <c r="E56" s="5" t="n">
        <v>60</v>
      </c>
      <c r="F56" s="5" t="n">
        <v>70</v>
      </c>
      <c r="J56" s="5" t="n">
        <v>28</v>
      </c>
      <c r="K56" s="5" t="s">
        <v>39</v>
      </c>
      <c r="L56" s="5" t="e">
        <f aca="false">AVERAGE(IFERROR(VLOOKUP($K56,Olympiade_1!$B:$F,5,FALSE()),""),IFERROR(VLOOKUP($K56,Olympiade_2!$B:$F,5,FALSE()),""),IFERROR(VLOOKUP($K56,Olympiade_3!$B:$F,5,FALSE()),""),IFERROR(VLOOKUP($K56,Olympiade_4!$B:$F,5,FALSE()),""),IFERROR(VLOOKUP($K56,Olympiade_5!$B:$F,5,FALSE()),""),IFERROR(VLOOKUP($K56,Olympiade_6!$B:$F,5,FALSE()),""))</f>
        <v>#VALUE!</v>
      </c>
      <c r="M56" s="5" t="n">
        <f aca="false">SUMIFS(Database!B:B,Database!A:A,K56) + SUMIFS(Database!D:D,Database!A:A,K56)</f>
        <v>20</v>
      </c>
      <c r="N56" s="5" t="n">
        <f aca="false">SUMIFS(Database!B:B,Database!A:A,K56) + SUMIFS(Database!E:E,Database!A:A,K56)</f>
        <v>20</v>
      </c>
      <c r="P56" s="5" t="n">
        <f aca="false">SUMIFS(Database!B:B,Database!A:A,K56) + SUMIFS(Database!F:F,Database!A:A,K56)</f>
        <v>10</v>
      </c>
      <c r="Q56" s="5" t="e">
        <f aca="false">AVERAGE(#REF!,#REF!,#REF!)</f>
        <v>#REF!</v>
      </c>
    </row>
    <row r="57" customFormat="false" ht="15.75" hidden="false" customHeight="true" outlineLevel="0" collapsed="false">
      <c r="A57" s="5" t="s">
        <v>22</v>
      </c>
      <c r="B57" s="5" t="s">
        <v>90</v>
      </c>
      <c r="C57" s="5" t="n">
        <v>80</v>
      </c>
      <c r="D57" s="5" t="n">
        <v>10</v>
      </c>
      <c r="E57" s="5" t="n">
        <v>50</v>
      </c>
      <c r="F57" s="5" t="n">
        <v>30</v>
      </c>
      <c r="J57" s="12" t="s">
        <v>0</v>
      </c>
      <c r="K57" s="12" t="s">
        <v>1</v>
      </c>
      <c r="L57" s="12" t="s">
        <v>2</v>
      </c>
      <c r="M57" s="12" t="s">
        <v>3</v>
      </c>
      <c r="N57" s="12" t="s">
        <v>4</v>
      </c>
      <c r="O57" s="12" t="s">
        <v>5</v>
      </c>
      <c r="P57" s="12" t="s">
        <v>86</v>
      </c>
    </row>
    <row r="58" customFormat="false" ht="15.75" hidden="false" customHeight="true" outlineLevel="0" collapsed="false">
      <c r="A58" s="5" t="s">
        <v>39</v>
      </c>
      <c r="B58" s="5" t="s">
        <v>90</v>
      </c>
      <c r="C58" s="5" t="n">
        <v>10</v>
      </c>
      <c r="D58" s="5" t="n">
        <v>20</v>
      </c>
      <c r="E58" s="5" t="n">
        <v>20</v>
      </c>
      <c r="F58" s="5" t="n">
        <v>10</v>
      </c>
      <c r="J58" s="5" t="n">
        <v>6</v>
      </c>
      <c r="K58" s="5" t="s">
        <v>8</v>
      </c>
      <c r="L58" s="5" t="n">
        <f aca="false">SUMIFS(Database!B:B,Database!A:A,K58) + SUMIFS(Database!C:C,Database!A:A,K58)</f>
        <v>270</v>
      </c>
      <c r="M58" s="5" t="n">
        <f aca="false">SUMIFS(Database!B:B,Database!A:A,K58) + SUMIFS(Database!D:D,Database!A:A,K58)</f>
        <v>280</v>
      </c>
      <c r="N58" s="5" t="n">
        <f aca="false">SUMIFS(Database!B:B,Database!A:A,K58) + SUMIFS(Database!E:E,Database!A:A,K58)</f>
        <v>230</v>
      </c>
      <c r="O58" s="5" t="n">
        <f aca="false">SUMIFS(Database!B:B,Database!A:A,K58) + SUMIFS(Database!F:F,Database!A:A,K58)</f>
        <v>300</v>
      </c>
      <c r="P58" s="5" t="n">
        <f aca="false">AVERAGE(L58,M58,N58)</f>
        <v>260</v>
      </c>
    </row>
    <row r="59" customFormat="false" ht="15.75" hidden="false" customHeight="true" outlineLevel="0" collapsed="false">
      <c r="A59" s="5" t="s">
        <v>14</v>
      </c>
      <c r="B59" s="5" t="s">
        <v>90</v>
      </c>
      <c r="C59" s="5" t="n">
        <v>70</v>
      </c>
      <c r="D59" s="5" t="n">
        <v>40</v>
      </c>
      <c r="E59" s="5" t="n">
        <v>70</v>
      </c>
      <c r="F59" s="5" t="n">
        <v>70</v>
      </c>
      <c r="J59" s="5" t="n">
        <v>13</v>
      </c>
      <c r="K59" s="5" t="s">
        <v>16</v>
      </c>
      <c r="L59" s="5" t="n">
        <f aca="false">SUMIFS(Database!B:B,Database!A:A,K59) + SUMIFS(Database!C:C,Database!A:A,K59)</f>
        <v>80</v>
      </c>
      <c r="M59" s="5" t="n">
        <f aca="false">SUMIFS(Database!B:B,Database!A:A,K59) + SUMIFS(Database!D:D,Database!A:A,K59)</f>
        <v>140</v>
      </c>
      <c r="N59" s="5" t="n">
        <f aca="false">SUMIFS(Database!B:B,Database!A:A,K59) + SUMIFS(Database!E:E,Database!A:A,K59)</f>
        <v>230</v>
      </c>
      <c r="O59" s="5" t="n">
        <f aca="false">SUMIFS(Database!B:B,Database!A:A,K59) + SUMIFS(Database!F:F,Database!A:A,K59)</f>
        <v>150</v>
      </c>
      <c r="P59" s="5" t="n">
        <f aca="false">AVERAGE(L59,M59,N59)</f>
        <v>150</v>
      </c>
    </row>
    <row r="60" customFormat="false" ht="15.75" hidden="false" customHeight="true" outlineLevel="0" collapsed="false">
      <c r="A60" s="5" t="s">
        <v>23</v>
      </c>
      <c r="B60" s="5" t="s">
        <v>90</v>
      </c>
      <c r="C60" s="5" t="n">
        <v>20</v>
      </c>
      <c r="D60" s="5" t="n">
        <v>80</v>
      </c>
      <c r="E60" s="5" t="n">
        <v>60</v>
      </c>
      <c r="F60" s="5" t="n">
        <v>60</v>
      </c>
      <c r="J60" s="9" t="n">
        <v>16</v>
      </c>
      <c r="K60" s="9" t="s">
        <v>17</v>
      </c>
      <c r="L60" s="10" t="n">
        <f aca="false">SUMIFS(Database!B:B,Database!A:A,K60) + SUMIFS(Database!C:C,Database!A:A,K60)</f>
        <v>160</v>
      </c>
      <c r="M60" s="10" t="n">
        <f aca="false">SUMIFS(Database!B:B,Database!A:A,K60) + SUMIFS(Database!D:D,Database!A:A,K60)</f>
        <v>90</v>
      </c>
      <c r="N60" s="10" t="n">
        <f aca="false">SUMIFS(Database!B:B,Database!A:A,K60) + SUMIFS(Database!E:E,Database!A:A,K60)</f>
        <v>230</v>
      </c>
      <c r="O60" s="10" t="n">
        <f aca="false">SUMIFS(Database!B:B,Database!A:A,K60) + SUMIFS(Database!F:F,Database!A:A,K60)</f>
        <v>150</v>
      </c>
      <c r="P60" s="11" t="n">
        <f aca="false">AVERAGE(L60,M60,N60)</f>
        <v>160</v>
      </c>
      <c r="Q60" s="10"/>
    </row>
    <row r="61" customFormat="false" ht="15.75" hidden="false" customHeight="true" outlineLevel="0" collapsed="false">
      <c r="A61" s="5" t="s">
        <v>12</v>
      </c>
      <c r="B61" s="5" t="s">
        <v>90</v>
      </c>
      <c r="C61" s="5" t="n">
        <v>90</v>
      </c>
      <c r="D61" s="5" t="n">
        <v>50</v>
      </c>
      <c r="E61" s="5" t="n">
        <v>80</v>
      </c>
      <c r="F61" s="5" t="n">
        <v>90</v>
      </c>
      <c r="J61" s="5" t="n">
        <v>19</v>
      </c>
      <c r="K61" s="5" t="s">
        <v>15</v>
      </c>
      <c r="L61" s="5" t="n">
        <f aca="false">SUMIFS(Database!B:B,Database!A:A,K61) + SUMIFS(Database!C:C,Database!A:A,K61)</f>
        <v>160</v>
      </c>
      <c r="M61" s="5" t="n">
        <f aca="false">SUMIFS(Database!B:B,Database!A:A,K61) + SUMIFS(Database!D:D,Database!A:A,K61)</f>
        <v>140</v>
      </c>
      <c r="N61" s="5" t="n">
        <f aca="false">SUMIFS(Database!B:B,Database!A:A,K61) + SUMIFS(Database!E:E,Database!A:A,K61)</f>
        <v>110</v>
      </c>
      <c r="O61" s="5" t="n">
        <f aca="false">SUMIFS(Database!B:B,Database!A:A,K61) + SUMIFS(Database!F:F,Database!A:A,K61)</f>
        <v>160</v>
      </c>
      <c r="P61" s="5" t="n">
        <f aca="false">AVERAGE(L61,M61,N61)</f>
        <v>136.666666666667</v>
      </c>
    </row>
    <row r="62" customFormat="false" ht="15.75" hidden="false" customHeight="true" outlineLevel="0" collapsed="false">
      <c r="A62" s="5" t="s">
        <v>17</v>
      </c>
      <c r="B62" s="5" t="s">
        <v>90</v>
      </c>
      <c r="C62" s="5" t="n">
        <v>80</v>
      </c>
      <c r="D62" s="5" t="n">
        <v>10</v>
      </c>
      <c r="E62" s="5" t="n">
        <v>50</v>
      </c>
      <c r="F62" s="5" t="n">
        <v>30</v>
      </c>
      <c r="J62" s="5" t="n">
        <v>22</v>
      </c>
      <c r="K62" s="5" t="s">
        <v>14</v>
      </c>
      <c r="L62" s="5" t="n">
        <f aca="false">SUMIFS(Database!B:B,Database!A:A,K62) + SUMIFS(Database!C:C,Database!A:A,K62)</f>
        <v>130</v>
      </c>
      <c r="M62" s="5" t="n">
        <f aca="false">SUMIFS(Database!B:B,Database!A:A,K62) + SUMIFS(Database!D:D,Database!A:A,K62)</f>
        <v>130</v>
      </c>
      <c r="N62" s="5" t="n">
        <f aca="false">SUMIFS(Database!B:B,Database!A:A,K62) + SUMIFS(Database!E:E,Database!A:A,K62)</f>
        <v>150</v>
      </c>
      <c r="O62" s="5" t="n">
        <f aca="false">SUMIFS(Database!B:B,Database!A:A,K62) + SUMIFS(Database!F:F,Database!A:A,K62)</f>
        <v>160</v>
      </c>
      <c r="P62" s="5" t="n">
        <f aca="false">AVERAGE(L62,M62,N62)</f>
        <v>136.666666666667</v>
      </c>
    </row>
    <row r="63" customFormat="false" ht="15.75" hidden="false" customHeight="true" outlineLevel="0" collapsed="false">
      <c r="A63" s="5" t="s">
        <v>9</v>
      </c>
      <c r="B63" s="5" t="s">
        <v>90</v>
      </c>
      <c r="C63" s="5" t="n">
        <v>70</v>
      </c>
      <c r="D63" s="5" t="n">
        <v>40</v>
      </c>
      <c r="E63" s="5" t="n">
        <v>70</v>
      </c>
      <c r="F63" s="5" t="n">
        <v>70</v>
      </c>
      <c r="J63" s="5" t="n">
        <v>32</v>
      </c>
      <c r="K63" s="5" t="s">
        <v>27</v>
      </c>
      <c r="L63" s="5" t="n">
        <f aca="false">SUMIFS(Database!B:B,Database!A:A,K63) + SUMIFS(Database!C:C,Database!A:A,K63)</f>
        <v>110</v>
      </c>
      <c r="M63" s="5" t="n">
        <f aca="false">SUMIFS(Database!B:B,Database!A:A,K63) + SUMIFS(Database!D:D,Database!A:A,K63)</f>
        <v>90</v>
      </c>
      <c r="N63" s="5" t="n">
        <f aca="false">SUMIFS(Database!B:B,Database!A:A,K63) + SUMIFS(Database!E:E,Database!A:A,K63)</f>
        <v>30</v>
      </c>
      <c r="O63" s="5" t="n">
        <f aca="false">SUMIFS(Database!B:B,Database!A:A,K63) + SUMIFS(Database!F:F,Database!A:A,K63)</f>
        <v>80</v>
      </c>
      <c r="P63" s="5" t="n">
        <f aca="false">AVERAGE(L63,M63,N63)</f>
        <v>76.6666666666667</v>
      </c>
    </row>
    <row r="64" customFormat="false" ht="15.75" hidden="false" customHeight="true" outlineLevel="0" collapsed="false">
      <c r="A64" s="5" t="s">
        <v>8</v>
      </c>
      <c r="B64" s="5" t="s">
        <v>90</v>
      </c>
      <c r="C64" s="5" t="n">
        <v>60</v>
      </c>
      <c r="D64" s="5" t="n">
        <v>90</v>
      </c>
      <c r="E64" s="5" t="n">
        <v>40</v>
      </c>
      <c r="F64" s="5" t="n">
        <v>80</v>
      </c>
    </row>
    <row r="65" customFormat="false" ht="15.75" hidden="false" customHeight="true" outlineLevel="0" collapsed="false">
      <c r="A65" s="5" t="s">
        <v>16</v>
      </c>
      <c r="B65" s="5" t="s">
        <v>90</v>
      </c>
      <c r="C65" s="5" t="n">
        <v>40</v>
      </c>
      <c r="D65" s="5" t="n">
        <v>30</v>
      </c>
      <c r="E65" s="5" t="n">
        <v>90</v>
      </c>
      <c r="F65" s="5" t="n">
        <v>50</v>
      </c>
    </row>
    <row r="66" customFormat="false" ht="15.75" hidden="false" customHeight="true" outlineLevel="0" collapsed="false">
      <c r="A66" s="5" t="s">
        <v>6</v>
      </c>
      <c r="B66" s="5" t="s">
        <v>90</v>
      </c>
      <c r="C66" s="5" t="n">
        <v>20</v>
      </c>
      <c r="D66" s="5" t="n">
        <v>80</v>
      </c>
      <c r="E66" s="5" t="n">
        <v>60</v>
      </c>
      <c r="F66" s="5" t="n">
        <v>60</v>
      </c>
    </row>
    <row r="67" customFormat="false" ht="15.75" hidden="false" customHeight="true" outlineLevel="0" collapsed="false">
      <c r="A67" s="5" t="s">
        <v>38</v>
      </c>
      <c r="B67" s="5" t="s">
        <v>90</v>
      </c>
      <c r="C67" s="5" t="n">
        <v>10</v>
      </c>
      <c r="D67" s="5" t="n">
        <v>20</v>
      </c>
      <c r="E67" s="5" t="n">
        <v>20</v>
      </c>
      <c r="F67" s="5" t="n">
        <v>10</v>
      </c>
    </row>
    <row r="68" customFormat="false" ht="15.75" hidden="false" customHeight="true" outlineLevel="0" collapsed="false">
      <c r="A68" s="5" t="s">
        <v>24</v>
      </c>
      <c r="B68" s="5" t="s">
        <v>90</v>
      </c>
      <c r="C68" s="5" t="n">
        <v>30</v>
      </c>
      <c r="D68" s="5" t="n">
        <v>60</v>
      </c>
      <c r="E68" s="5" t="n">
        <v>10</v>
      </c>
      <c r="F68" s="5" t="n">
        <v>20</v>
      </c>
    </row>
    <row r="69" customFormat="false" ht="15.75" hidden="false" customHeight="true" outlineLevel="0" collapsed="false">
      <c r="A69" s="5" t="s">
        <v>36</v>
      </c>
      <c r="B69" s="5" t="s">
        <v>90</v>
      </c>
      <c r="C69" s="5" t="n">
        <v>30</v>
      </c>
      <c r="D69" s="5" t="n">
        <v>60</v>
      </c>
      <c r="E69" s="5" t="n">
        <v>10</v>
      </c>
      <c r="F69" s="5" t="n">
        <v>20</v>
      </c>
    </row>
    <row r="70" customFormat="false" ht="15.75" hidden="false" customHeight="true" outlineLevel="0" collapsed="false">
      <c r="A70" s="5" t="s">
        <v>21</v>
      </c>
      <c r="B70" s="5" t="s">
        <v>90</v>
      </c>
      <c r="C70" s="5" t="n">
        <v>60</v>
      </c>
      <c r="D70" s="5" t="n">
        <v>90</v>
      </c>
      <c r="E70" s="5" t="n">
        <v>40</v>
      </c>
      <c r="F70" s="5" t="n">
        <v>80</v>
      </c>
    </row>
    <row r="71" customFormat="false" ht="15.75" hidden="false" customHeight="true" outlineLevel="0" collapsed="false">
      <c r="A71" s="5" t="s">
        <v>7</v>
      </c>
      <c r="B71" s="5" t="s">
        <v>90</v>
      </c>
      <c r="C71" s="5" t="n">
        <v>50</v>
      </c>
      <c r="D71" s="5" t="n">
        <v>70</v>
      </c>
      <c r="E71" s="5" t="n">
        <v>30</v>
      </c>
      <c r="F71" s="5" t="n">
        <v>40</v>
      </c>
      <c r="J71" s="5" t="n">
        <v>15</v>
      </c>
      <c r="K71" s="5" t="s">
        <v>21</v>
      </c>
      <c r="L71" s="5" t="e">
        <f aca="false">AVERAGE(IFERROR(VLOOKUP($K71,Olympiade_1!$B:$F,5,FALSE()),""),IFERROR(VLOOKUP($K71,Olympiade_2!$B:$F,5,FALSE()),""),IFERROR(VLOOKUP($K71,Olympiade_3!$B:$F,5,FALSE()),""),IFERROR(VLOOKUP($K71,Olympiade_4!$B:$F,5,FALSE()),""),IFERROR(VLOOKUP($K71,Olympiade_5!$B:$F,5,FALSE()),""),IFERROR(VLOOKUP($K71,Olympiade_6!$B:$F,5,FALSE()),""))</f>
        <v>#VALUE!</v>
      </c>
      <c r="M71" s="5" t="n">
        <f aca="false">SUMIFS(Database!B:B,Database!A:A,K71) + SUMIFS(Database!D:D,Database!A:A,K71)</f>
        <v>120</v>
      </c>
      <c r="N71" s="5" t="n">
        <f aca="false">SUMIFS(Database!B:B,Database!A:A,K71) + SUMIFS(Database!E:E,Database!A:A,K71)</f>
        <v>60</v>
      </c>
      <c r="P71" s="5" t="n">
        <f aca="false">SUMIFS(Database!B:B,Database!A:A,K71) + SUMIFS(Database!F:F,Database!A:A,K71)</f>
        <v>110</v>
      </c>
      <c r="Q71" s="5" t="n">
        <f aca="false">AVERAGE(L14,M14,N14)</f>
        <v>33.3333333333333</v>
      </c>
    </row>
    <row r="72" customFormat="false" ht="15.75" hidden="false" customHeight="true" outlineLevel="0" collapsed="false">
      <c r="A72" s="5" t="s">
        <v>19</v>
      </c>
      <c r="B72" s="5" t="s">
        <v>90</v>
      </c>
      <c r="C72" s="5" t="n">
        <v>50</v>
      </c>
      <c r="D72" s="5" t="n">
        <v>70</v>
      </c>
      <c r="E72" s="5" t="n">
        <v>30</v>
      </c>
      <c r="F72" s="5" t="n">
        <v>40</v>
      </c>
      <c r="J72" s="5" t="n">
        <v>21</v>
      </c>
      <c r="K72" s="5" t="s">
        <v>32</v>
      </c>
      <c r="L72" s="5" t="e">
        <f aca="false">AVERAGE(IFERROR(VLOOKUP($K72,Olympiade_1!$B:$F,5,FALSE()),""),IFERROR(VLOOKUP($K72,Olympiade_2!$B:$F,5,FALSE()),""),IFERROR(VLOOKUP($K72,Olympiade_3!$B:$F,5,FALSE()),""),IFERROR(VLOOKUP($K72,Olympiade_4!$B:$F,5,FALSE()),""),IFERROR(VLOOKUP($K72,Olympiade_5!$B:$F,5,FALSE()),""),IFERROR(VLOOKUP($K72,Olympiade_6!$B:$F,5,FALSE()),""))</f>
        <v>#VALUE!</v>
      </c>
      <c r="M72" s="5" t="n">
        <f aca="false">SUMIFS(Database!B:B,Database!A:A,K72) + SUMIFS(Database!D:D,Database!A:A,K72)</f>
        <v>60</v>
      </c>
      <c r="N72" s="5" t="n">
        <f aca="false">SUMIFS(Database!B:B,Database!A:A,K72) + SUMIFS(Database!E:E,Database!A:A,K72)</f>
        <v>50</v>
      </c>
      <c r="P72" s="5" t="n">
        <f aca="false">SUMIFS(Database!B:B,Database!A:A,K72) + SUMIFS(Database!F:F,Database!A:A,K72)</f>
        <v>50</v>
      </c>
      <c r="Q72" s="5" t="e">
        <f aca="false">AVERAGE(L15,M15,N15)</f>
        <v>#DIV/0!</v>
      </c>
    </row>
    <row r="73" customFormat="false" ht="15.75" hidden="false" customHeight="true" outlineLevel="0" collapsed="false">
      <c r="A73" s="5" t="s">
        <v>13</v>
      </c>
      <c r="B73" s="5" t="s">
        <v>90</v>
      </c>
      <c r="C73" s="5" t="n">
        <v>40</v>
      </c>
      <c r="D73" s="5" t="n">
        <v>30</v>
      </c>
      <c r="E73" s="5" t="n">
        <v>90</v>
      </c>
      <c r="F73" s="5" t="n">
        <v>50</v>
      </c>
      <c r="J73" s="5" t="n">
        <v>24</v>
      </c>
      <c r="K73" s="5" t="s">
        <v>16</v>
      </c>
      <c r="L73" s="5" t="e">
        <f aca="false">AVERAGE(IFERROR(VLOOKUP($K73,Olympiade_1!$B:$F,5,FALSE()),""),IFERROR(VLOOKUP($K73,Olympiade_2!$B:$F,5,FALSE()),""),IFERROR(VLOOKUP($K73,Olympiade_3!$B:$F,5,FALSE()),""),IFERROR(VLOOKUP($K73,Olympiade_4!$B:$F,5,FALSE()),""),IFERROR(VLOOKUP($K73,Olympiade_5!$B:$F,5,FALSE()),""),IFERROR(VLOOKUP($K73,Olympiade_6!$B:$F,5,FALSE()),""))</f>
        <v>#VALUE!</v>
      </c>
      <c r="M73" s="5" t="n">
        <f aca="false">SUMIFS(Database!B:B,Database!A:A,K73) + SUMIFS(Database!D:D,Database!A:A,K73)</f>
        <v>140</v>
      </c>
      <c r="N73" s="5" t="n">
        <f aca="false">SUMIFS(Database!B:B,Database!A:A,K73) + SUMIFS(Database!E:E,Database!A:A,K73)</f>
        <v>230</v>
      </c>
      <c r="P73" s="5" t="n">
        <f aca="false">SUMIFS(Database!B:B,Database!A:A,K73) + SUMIFS(Database!F:F,Database!A:A,K73)</f>
        <v>150</v>
      </c>
      <c r="Q73" s="5" t="e">
        <f aca="false">AVERAGE(L16,M16,N16)</f>
        <v>#DIV/0!</v>
      </c>
    </row>
    <row r="74" customFormat="false" ht="15.75" hidden="false" customHeight="true" outlineLevel="0" collapsed="false">
      <c r="A74" s="5" t="s">
        <v>10</v>
      </c>
      <c r="B74" s="5" t="s">
        <v>90</v>
      </c>
      <c r="C74" s="5" t="n">
        <v>90</v>
      </c>
      <c r="D74" s="5" t="n">
        <v>50</v>
      </c>
      <c r="E74" s="5" t="n">
        <v>80</v>
      </c>
      <c r="F74" s="5" t="n">
        <v>90</v>
      </c>
      <c r="J74" s="5" t="n">
        <v>29</v>
      </c>
      <c r="K74" s="5" t="s">
        <v>38</v>
      </c>
      <c r="L74" s="5" t="e">
        <f aca="false">AVERAGE(IFERROR(VLOOKUP($K74,Olympiade_1!$B:$F,5,FALSE()),""),IFERROR(VLOOKUP($K74,Olympiade_2!$B:$F,5,FALSE()),""),IFERROR(VLOOKUP($K74,Olympiade_3!$B:$F,5,FALSE()),""),IFERROR(VLOOKUP($K74,Olympiade_4!$B:$F,5,FALSE()),""),IFERROR(VLOOKUP($K74,Olympiade_5!$B:$F,5,FALSE()),""),IFERROR(VLOOKUP($K74,Olympiade_6!$B:$F,5,FALSE()),""))</f>
        <v>#VALUE!</v>
      </c>
      <c r="M74" s="5" t="n">
        <f aca="false">SUMIFS(Database!B:B,Database!A:A,K74) + SUMIFS(Database!D:D,Database!A:A,K74)</f>
        <v>50</v>
      </c>
      <c r="N74" s="5" t="n">
        <f aca="false">SUMIFS(Database!B:B,Database!A:A,K74) + SUMIFS(Database!E:E,Database!A:A,K74)</f>
        <v>40</v>
      </c>
      <c r="P74" s="5" t="n">
        <f aca="false">SUMIFS(Database!B:B,Database!A:A,K74) + SUMIFS(Database!F:F,Database!A:A,K74)</f>
        <v>20</v>
      </c>
      <c r="Q74" s="5" t="e">
        <f aca="false">AVERAGE(L17,M17,N17)</f>
        <v>#DIV/0!</v>
      </c>
    </row>
    <row r="75" customFormat="false" ht="15.75" hidden="false" customHeight="true" outlineLevel="0" collapsed="false">
      <c r="A75" s="5" t="s">
        <v>22</v>
      </c>
      <c r="B75" s="5" t="s">
        <v>91</v>
      </c>
      <c r="C75" s="5" t="n">
        <v>10</v>
      </c>
      <c r="D75" s="5" t="n">
        <v>10</v>
      </c>
      <c r="E75" s="5" t="n">
        <v>40</v>
      </c>
      <c r="F75" s="5" t="n">
        <v>10</v>
      </c>
      <c r="J75" s="5" t="n">
        <v>1</v>
      </c>
      <c r="K75" s="5" t="s">
        <v>7</v>
      </c>
      <c r="L75" s="5" t="n">
        <f aca="false">SUMIFS(Database!B:B,Database!A:A,K75) + SUMIFS(Database!C:C,Database!A:A,K75)</f>
        <v>320</v>
      </c>
      <c r="M75" s="5" t="n">
        <f aca="false">SUMIFS(Database!B:B,Database!A:A,K75) + SUMIFS(Database!D:D,Database!A:A,K75)</f>
        <v>380</v>
      </c>
      <c r="N75" s="5" t="n">
        <f aca="false">SUMIFS(Database!B:B,Database!A:A,K75) + SUMIFS(Database!E:E,Database!A:A,K75)</f>
        <v>290</v>
      </c>
      <c r="O75" s="5" t="n">
        <f aca="false">SUMIFS(Database!B:B,Database!A:A,K75) + SUMIFS(Database!F:F,Database!A:A,K75)</f>
        <v>340</v>
      </c>
      <c r="P75" s="5" t="n">
        <f aca="false">AVERAGE(L75,M75,N75)</f>
        <v>330</v>
      </c>
    </row>
    <row r="76" customFormat="false" ht="15.75" hidden="false" customHeight="true" outlineLevel="0" collapsed="false">
      <c r="A76" s="5" t="s">
        <v>28</v>
      </c>
      <c r="B76" s="5" t="s">
        <v>91</v>
      </c>
      <c r="C76" s="5" t="n">
        <v>40</v>
      </c>
      <c r="D76" s="5" t="n">
        <v>50</v>
      </c>
      <c r="E76" s="5" t="n">
        <v>10</v>
      </c>
      <c r="F76" s="5" t="n">
        <v>20</v>
      </c>
      <c r="J76" s="5" t="n">
        <v>5</v>
      </c>
      <c r="K76" s="5" t="s">
        <v>9</v>
      </c>
      <c r="L76" s="5" t="n">
        <f aca="false">SUMIFS(Database!B:B,Database!A:A,K76) + SUMIFS(Database!C:C,Database!A:A,K76)</f>
        <v>240</v>
      </c>
      <c r="M76" s="5" t="n">
        <f aca="false">SUMIFS(Database!B:B,Database!A:A,K76) + SUMIFS(Database!D:D,Database!A:A,K76)</f>
        <v>180</v>
      </c>
      <c r="N76" s="5" t="n">
        <f aca="false">SUMIFS(Database!B:B,Database!A:A,K76) + SUMIFS(Database!E:E,Database!A:A,K76)</f>
        <v>390</v>
      </c>
      <c r="O76" s="5" t="n">
        <f aca="false">SUMIFS(Database!B:B,Database!A:A,K76) + SUMIFS(Database!F:F,Database!A:A,K76)</f>
        <v>270</v>
      </c>
      <c r="P76" s="5" t="n">
        <f aca="false">AVERAGE(L76,M76,N76)</f>
        <v>270</v>
      </c>
    </row>
    <row r="77" customFormat="false" ht="15.75" hidden="false" customHeight="true" outlineLevel="0" collapsed="false">
      <c r="A77" s="5" t="s">
        <v>18</v>
      </c>
      <c r="B77" s="5" t="s">
        <v>91</v>
      </c>
      <c r="C77" s="5" t="n">
        <v>60</v>
      </c>
      <c r="D77" s="5" t="n">
        <v>20</v>
      </c>
      <c r="E77" s="5" t="n">
        <v>30</v>
      </c>
      <c r="F77" s="5" t="n">
        <v>40</v>
      </c>
      <c r="J77" s="5" t="n">
        <v>12</v>
      </c>
      <c r="K77" s="5" t="s">
        <v>21</v>
      </c>
      <c r="L77" s="5" t="n">
        <f aca="false">SUMIFS(Database!B:B,Database!A:A,K77) + SUMIFS(Database!C:C,Database!A:A,K77)</f>
        <v>110</v>
      </c>
      <c r="M77" s="5" t="n">
        <f aca="false">SUMIFS(Database!B:B,Database!A:A,K77) + SUMIFS(Database!D:D,Database!A:A,K77)</f>
        <v>120</v>
      </c>
      <c r="N77" s="5" t="n">
        <f aca="false">SUMIFS(Database!B:B,Database!A:A,K77) + SUMIFS(Database!E:E,Database!A:A,K77)</f>
        <v>60</v>
      </c>
      <c r="O77" s="5" t="n">
        <f aca="false">SUMIFS(Database!B:B,Database!A:A,K77) + SUMIFS(Database!F:F,Database!A:A,K77)</f>
        <v>110</v>
      </c>
      <c r="P77" s="5" t="n">
        <f aca="false">AVERAGE(L77,M77,N77)</f>
        <v>96.6666666666667</v>
      </c>
    </row>
    <row r="78" customFormat="false" ht="15.75" hidden="false" customHeight="true" outlineLevel="0" collapsed="false">
      <c r="A78" s="5" t="s">
        <v>11</v>
      </c>
      <c r="B78" s="5" t="s">
        <v>91</v>
      </c>
      <c r="C78" s="5" t="n">
        <v>30</v>
      </c>
      <c r="D78" s="5" t="n">
        <v>70</v>
      </c>
      <c r="E78" s="5" t="n">
        <v>70</v>
      </c>
      <c r="F78" s="5" t="n">
        <v>60</v>
      </c>
      <c r="J78" s="5" t="n">
        <v>27</v>
      </c>
      <c r="K78" s="5" t="s">
        <v>25</v>
      </c>
      <c r="L78" s="5" t="n">
        <f aca="false">SUMIFS(Database!B:B,Database!A:A,K78) + SUMIFS(Database!C:C,Database!A:A,K78)</f>
        <v>140</v>
      </c>
      <c r="M78" s="5" t="n">
        <f aca="false">SUMIFS(Database!B:B,Database!A:A,K78) + SUMIFS(Database!D:D,Database!A:A,K78)</f>
        <v>60</v>
      </c>
      <c r="N78" s="5" t="n">
        <f aca="false">SUMIFS(Database!B:B,Database!A:A,K78) + SUMIFS(Database!E:E,Database!A:A,K78)</f>
        <v>100</v>
      </c>
      <c r="O78" s="5" t="n">
        <f aca="false">SUMIFS(Database!B:B,Database!A:A,K78) + SUMIFS(Database!F:F,Database!A:A,K78)</f>
        <v>90</v>
      </c>
      <c r="P78" s="5" t="n">
        <f aca="false">AVERAGE(L78,M78,N78)</f>
        <v>100</v>
      </c>
    </row>
    <row r="79" customFormat="false" ht="15.75" hidden="false" customHeight="true" outlineLevel="0" collapsed="false">
      <c r="A79" s="5" t="s">
        <v>9</v>
      </c>
      <c r="B79" s="5" t="s">
        <v>91</v>
      </c>
      <c r="C79" s="5" t="n">
        <v>10</v>
      </c>
      <c r="D79" s="5" t="n">
        <v>10</v>
      </c>
      <c r="E79" s="5" t="n">
        <v>40</v>
      </c>
      <c r="F79" s="5" t="n">
        <v>10</v>
      </c>
      <c r="J79" s="5" t="n">
        <v>33</v>
      </c>
      <c r="K79" s="5" t="s">
        <v>40</v>
      </c>
      <c r="L79" s="5" t="n">
        <f aca="false">SUMIFS(Database!B:B,Database!A:A,K79) + SUMIFS(Database!C:C,Database!A:A,K79)</f>
        <v>10</v>
      </c>
      <c r="M79" s="5" t="n">
        <f aca="false">SUMIFS(Database!B:B,Database!A:A,K79) + SUMIFS(Database!D:D,Database!A:A,K79)</f>
        <v>10</v>
      </c>
      <c r="N79" s="5" t="n">
        <f aca="false">SUMIFS(Database!B:B,Database!A:A,K79) + SUMIFS(Database!E:E,Database!A:A,K79)</f>
        <v>10</v>
      </c>
      <c r="O79" s="5" t="n">
        <f aca="false">SUMIFS(Database!B:B,Database!A:A,K79) + SUMIFS(Database!F:F,Database!A:A,K79)</f>
        <v>10</v>
      </c>
      <c r="P79" s="5" t="n">
        <f aca="false">AVERAGE(L79,M79,N79)</f>
        <v>10</v>
      </c>
    </row>
    <row r="80" customFormat="false" ht="15.75" hidden="false" customHeight="true" outlineLevel="0" collapsed="false">
      <c r="A80" s="5" t="s">
        <v>8</v>
      </c>
      <c r="B80" s="5" t="s">
        <v>91</v>
      </c>
      <c r="C80" s="5" t="n">
        <v>50</v>
      </c>
      <c r="D80" s="5" t="n">
        <v>30</v>
      </c>
      <c r="E80" s="5" t="n">
        <v>20</v>
      </c>
      <c r="F80" s="5" t="n">
        <v>30</v>
      </c>
    </row>
    <row r="81" customFormat="false" ht="15.75" hidden="false" customHeight="true" outlineLevel="0" collapsed="false">
      <c r="A81" s="5" t="s">
        <v>16</v>
      </c>
      <c r="B81" s="5" t="s">
        <v>91</v>
      </c>
      <c r="C81" s="5" t="n">
        <v>20</v>
      </c>
      <c r="D81" s="5" t="n">
        <v>40</v>
      </c>
      <c r="E81" s="5" t="n">
        <v>80</v>
      </c>
      <c r="F81" s="5" t="n">
        <v>50</v>
      </c>
    </row>
    <row r="82" customFormat="false" ht="15.75" hidden="false" customHeight="true" outlineLevel="0" collapsed="false">
      <c r="A82" s="5" t="s">
        <v>6</v>
      </c>
      <c r="B82" s="5" t="s">
        <v>91</v>
      </c>
      <c r="C82" s="5" t="n">
        <v>70</v>
      </c>
      <c r="D82" s="5" t="n">
        <v>60</v>
      </c>
      <c r="E82" s="5" t="n">
        <v>50</v>
      </c>
      <c r="F82" s="5" t="n">
        <v>70</v>
      </c>
    </row>
    <row r="83" customFormat="false" ht="15.75" hidden="false" customHeight="true" outlineLevel="0" collapsed="false">
      <c r="A83" s="5" t="s">
        <v>21</v>
      </c>
      <c r="B83" s="5" t="s">
        <v>91</v>
      </c>
      <c r="C83" s="5" t="n">
        <v>50</v>
      </c>
      <c r="D83" s="5" t="n">
        <v>30</v>
      </c>
      <c r="E83" s="5" t="n">
        <v>20</v>
      </c>
      <c r="F83" s="5" t="n">
        <v>30</v>
      </c>
    </row>
    <row r="84" customFormat="false" ht="15.75" hidden="false" customHeight="true" outlineLevel="0" collapsed="false">
      <c r="A84" s="5" t="s">
        <v>20</v>
      </c>
      <c r="B84" s="5" t="s">
        <v>91</v>
      </c>
      <c r="C84" s="5" t="n">
        <v>30</v>
      </c>
      <c r="D84" s="5" t="n">
        <v>70</v>
      </c>
      <c r="E84" s="5" t="n">
        <v>70</v>
      </c>
      <c r="F84" s="5" t="n">
        <v>60</v>
      </c>
      <c r="J84" s="5" t="n">
        <v>5</v>
      </c>
      <c r="K84" s="5" t="s">
        <v>8</v>
      </c>
      <c r="L84" s="5" t="e">
        <f aca="false">AVERAGE(IFERROR(VLOOKUP($K84,Olympiade_1!$B:$F,5,FALSE()),""),IFERROR(VLOOKUP($K84,Olympiade_2!$B:$F,5,FALSE()),""),IFERROR(VLOOKUP($K84,Olympiade_3!$B:$F,5,FALSE()),""),IFERROR(VLOOKUP($K84,Olympiade_4!$B:$F,5,FALSE()),""),IFERROR(VLOOKUP($K84,Olympiade_5!$B:$F,5,FALSE()),""),IFERROR(VLOOKUP($K84,Olympiade_6!$B:$F,5,FALSE()),""))</f>
        <v>#VALUE!</v>
      </c>
      <c r="M84" s="5" t="n">
        <f aca="false">SUMIFS(Database!B:B,Database!A:A,K84) + SUMIFS(Database!D:D,Database!A:A,K84)</f>
        <v>280</v>
      </c>
      <c r="N84" s="5" t="n">
        <f aca="false">SUMIFS(Database!B:B,Database!A:A,K84) + SUMIFS(Database!E:E,Database!A:A,K84)</f>
        <v>230</v>
      </c>
      <c r="P84" s="5" t="n">
        <f aca="false">SUMIFS(Database!B:B,Database!A:A,K84) + SUMIFS(Database!F:F,Database!A:A,K84)</f>
        <v>300</v>
      </c>
      <c r="Q84" s="5" t="e">
        <f aca="false">AVERAGE(L27,M27,N27)</f>
        <v>#VALUE!</v>
      </c>
    </row>
    <row r="85" customFormat="false" ht="15.75" hidden="false" customHeight="true" outlineLevel="0" collapsed="false">
      <c r="A85" s="5" t="s">
        <v>37</v>
      </c>
      <c r="B85" s="5" t="s">
        <v>91</v>
      </c>
      <c r="C85" s="5" t="n">
        <v>40</v>
      </c>
      <c r="D85" s="5" t="n">
        <v>50</v>
      </c>
      <c r="E85" s="5" t="n">
        <v>10</v>
      </c>
      <c r="F85" s="5" t="n">
        <v>20</v>
      </c>
      <c r="J85" s="5" t="n">
        <v>7</v>
      </c>
      <c r="K85" s="5" t="s">
        <v>12</v>
      </c>
      <c r="L85" s="5" t="e">
        <f aca="false">AVERAGE(IFERROR(VLOOKUP($K85,Olympiade_1!$B:$F,5,FALSE()),""),IFERROR(VLOOKUP($K85,Olympiade_2!$B:$F,5,FALSE()),""),IFERROR(VLOOKUP($K85,Olympiade_3!$B:$F,5,FALSE()),""),IFERROR(VLOOKUP($K85,Olympiade_4!$B:$F,5,FALSE()),""),IFERROR(VLOOKUP($K85,Olympiade_5!$B:$F,5,FALSE()),""),IFERROR(VLOOKUP($K85,Olympiade_6!$B:$F,5,FALSE()),""))</f>
        <v>#VALUE!</v>
      </c>
      <c r="M85" s="5" t="n">
        <f aca="false">SUMIFS(Database!B:B,Database!A:A,K85) + SUMIFS(Database!D:D,Database!A:A,K85)</f>
        <v>170</v>
      </c>
      <c r="N85" s="5" t="n">
        <f aca="false">SUMIFS(Database!B:B,Database!A:A,K85) + SUMIFS(Database!E:E,Database!A:A,K85)</f>
        <v>190</v>
      </c>
      <c r="P85" s="5" t="n">
        <f aca="false">SUMIFS(Database!B:B,Database!A:A,K85) + SUMIFS(Database!F:F,Database!A:A,K85)</f>
        <v>230</v>
      </c>
      <c r="Q85" s="5" t="e">
        <f aca="false">AVERAGE(L28,M28,N28)</f>
        <v>#VALUE!</v>
      </c>
    </row>
    <row r="86" customFormat="false" ht="15.75" hidden="false" customHeight="true" outlineLevel="0" collapsed="false">
      <c r="A86" s="5" t="s">
        <v>25</v>
      </c>
      <c r="B86" s="5" t="s">
        <v>91</v>
      </c>
      <c r="C86" s="5" t="n">
        <v>60</v>
      </c>
      <c r="D86" s="5" t="n">
        <v>20</v>
      </c>
      <c r="E86" s="5" t="n">
        <v>30</v>
      </c>
      <c r="F86" s="5" t="n">
        <v>40</v>
      </c>
      <c r="J86" s="5" t="n">
        <v>9</v>
      </c>
      <c r="K86" s="5" t="s">
        <v>19</v>
      </c>
      <c r="L86" s="5" t="e">
        <f aca="false">AVERAGE(IFERROR(VLOOKUP($K86,Olympiade_1!$B:$F,5,FALSE()),""),IFERROR(VLOOKUP($K86,Olympiade_2!$B:$F,5,FALSE()),""),IFERROR(VLOOKUP($K86,Olympiade_3!$B:$F,5,FALSE()),""),IFERROR(VLOOKUP($K86,Olympiade_4!$B:$F,5,FALSE()),""),IFERROR(VLOOKUP($K86,Olympiade_5!$B:$F,5,FALSE()),""),IFERROR(VLOOKUP($K86,Olympiade_6!$B:$F,5,FALSE()),""))</f>
        <v>#VALUE!</v>
      </c>
      <c r="M86" s="5" t="n">
        <f aca="false">SUMIFS(Database!B:B,Database!A:A,K86) + SUMIFS(Database!D:D,Database!A:A,K86)</f>
        <v>140</v>
      </c>
      <c r="N86" s="5" t="n">
        <f aca="false">SUMIFS(Database!B:B,Database!A:A,K86) + SUMIFS(Database!E:E,Database!A:A,K86)</f>
        <v>190</v>
      </c>
      <c r="P86" s="5" t="n">
        <f aca="false">SUMIFS(Database!B:B,Database!A:A,K86) + SUMIFS(Database!F:F,Database!A:A,K86)</f>
        <v>140</v>
      </c>
      <c r="Q86" s="5" t="e">
        <f aca="false">AVERAGE(L29,M29,N29)</f>
        <v>#VALUE!</v>
      </c>
    </row>
    <row r="87" customFormat="false" ht="15.75" hidden="false" customHeight="true" outlineLevel="0" collapsed="false">
      <c r="A87" s="5" t="s">
        <v>7</v>
      </c>
      <c r="B87" s="5" t="s">
        <v>91</v>
      </c>
      <c r="C87" s="5" t="n">
        <v>80</v>
      </c>
      <c r="D87" s="5" t="n">
        <v>80</v>
      </c>
      <c r="E87" s="5" t="n">
        <v>60</v>
      </c>
      <c r="F87" s="5" t="n">
        <v>80</v>
      </c>
      <c r="J87" s="5" t="n">
        <v>16</v>
      </c>
      <c r="K87" s="5" t="s">
        <v>22</v>
      </c>
      <c r="L87" s="5" t="e">
        <f aca="false">AVERAGE(IFERROR(VLOOKUP($K87,Olympiade_1!$B:$F,5,FALSE()),""),IFERROR(VLOOKUP($K87,Olympiade_2!$B:$F,5,FALSE()),""),IFERROR(VLOOKUP($K87,Olympiade_3!$B:$F,5,FALSE()),""),IFERROR(VLOOKUP($K87,Olympiade_4!$B:$F,5,FALSE()),""),IFERROR(VLOOKUP($K87,Olympiade_5!$B:$F,5,FALSE()),""),IFERROR(VLOOKUP($K87,Olympiade_6!$B:$F,5,FALSE()),""))</f>
        <v>#VALUE!</v>
      </c>
      <c r="M87" s="5" t="n">
        <f aca="false">SUMIFS(Database!B:B,Database!A:A,K87) + SUMIFS(Database!D:D,Database!A:A,K87)</f>
        <v>90</v>
      </c>
      <c r="N87" s="5" t="n">
        <f aca="false">SUMIFS(Database!B:B,Database!A:A,K87) + SUMIFS(Database!E:E,Database!A:A,K87)</f>
        <v>190</v>
      </c>
      <c r="P87" s="5" t="n">
        <f aca="false">SUMIFS(Database!B:B,Database!A:A,K87) + SUMIFS(Database!F:F,Database!A:A,K87)</f>
        <v>100</v>
      </c>
      <c r="Q87" s="5" t="e">
        <f aca="false">AVERAGE(L30,M30,N30)</f>
        <v>#VALUE!</v>
      </c>
    </row>
    <row r="88" customFormat="false" ht="15.75" hidden="false" customHeight="true" outlineLevel="0" collapsed="false">
      <c r="A88" s="5" t="s">
        <v>15</v>
      </c>
      <c r="B88" s="5" t="s">
        <v>91</v>
      </c>
      <c r="C88" s="5" t="n">
        <v>80</v>
      </c>
      <c r="D88" s="5" t="n">
        <v>80</v>
      </c>
      <c r="E88" s="5" t="n">
        <v>60</v>
      </c>
      <c r="F88" s="5" t="n">
        <v>80</v>
      </c>
      <c r="J88" s="5" t="n">
        <v>25</v>
      </c>
      <c r="K88" s="5" t="s">
        <v>36</v>
      </c>
      <c r="L88" s="5" t="e">
        <f aca="false">AVERAGE(IFERROR(VLOOKUP($K88,Olympiade_1!$B:$F,5,FALSE()),""),IFERROR(VLOOKUP($K88,Olympiade_2!$B:$F,5,FALSE()),""),IFERROR(VLOOKUP($K88,Olympiade_3!$B:$F,5,FALSE()),""),IFERROR(VLOOKUP($K88,Olympiade_4!$B:$F,5,FALSE()),""),IFERROR(VLOOKUP($K88,Olympiade_5!$B:$F,5,FALSE()),""),IFERROR(VLOOKUP($K88,Olympiade_6!$B:$F,5,FALSE()),""))</f>
        <v>#VALUE!</v>
      </c>
      <c r="M88" s="5" t="n">
        <f aca="false">SUMIFS(Database!B:B,Database!A:A,K88) + SUMIFS(Database!D:D,Database!A:A,K88)</f>
        <v>60</v>
      </c>
      <c r="N88" s="5" t="n">
        <f aca="false">SUMIFS(Database!B:B,Database!A:A,K88) + SUMIFS(Database!E:E,Database!A:A,K88)</f>
        <v>10</v>
      </c>
      <c r="P88" s="5" t="n">
        <f aca="false">SUMIFS(Database!B:B,Database!A:A,K88) + SUMIFS(Database!F:F,Database!A:A,K88)</f>
        <v>20</v>
      </c>
      <c r="Q88" s="5" t="n">
        <f aca="false">AVERAGE(L31,M31,N31)</f>
        <v>140</v>
      </c>
    </row>
    <row r="89" customFormat="false" ht="15.75" hidden="false" customHeight="true" outlineLevel="0" collapsed="false">
      <c r="A89" s="5" t="s">
        <v>30</v>
      </c>
      <c r="B89" s="5" t="s">
        <v>91</v>
      </c>
      <c r="C89" s="5" t="n">
        <v>70</v>
      </c>
      <c r="D89" s="5" t="n">
        <v>60</v>
      </c>
      <c r="E89" s="5" t="n">
        <v>50</v>
      </c>
      <c r="F89" s="5" t="n">
        <v>70</v>
      </c>
      <c r="J89" s="5" t="n">
        <v>26</v>
      </c>
      <c r="K89" s="5" t="s">
        <v>25</v>
      </c>
      <c r="L89" s="5" t="e">
        <f aca="false">AVERAGE(IFERROR(VLOOKUP($K89,Olympiade_1!$B:$F,5,FALSE()),""),IFERROR(VLOOKUP($K89,Olympiade_2!$B:$F,5,FALSE()),""),IFERROR(VLOOKUP($K89,Olympiade_3!$B:$F,5,FALSE()),""),IFERROR(VLOOKUP($K89,Olympiade_4!$B:$F,5,FALSE()),""),IFERROR(VLOOKUP($K89,Olympiade_5!$B:$F,5,FALSE()),""),IFERROR(VLOOKUP($K89,Olympiade_6!$B:$F,5,FALSE()),""))</f>
        <v>#VALUE!</v>
      </c>
      <c r="M89" s="5" t="n">
        <f aca="false">SUMIFS(Database!B:B,Database!A:A,K89) + SUMIFS(Database!D:D,Database!A:A,K89)</f>
        <v>60</v>
      </c>
      <c r="N89" s="5" t="n">
        <f aca="false">SUMIFS(Database!B:B,Database!A:A,K89) + SUMIFS(Database!E:E,Database!A:A,K89)</f>
        <v>100</v>
      </c>
      <c r="P89" s="5" t="n">
        <f aca="false">SUMIFS(Database!B:B,Database!A:A,K89) + SUMIFS(Database!F:F,Database!A:A,K89)</f>
        <v>90</v>
      </c>
      <c r="Q89" s="5" t="n">
        <f aca="false">AVERAGE(L32,M32,N32)</f>
        <v>60</v>
      </c>
    </row>
    <row r="90" customFormat="false" ht="15.75" hidden="false" customHeight="true" outlineLevel="0" collapsed="false">
      <c r="A90" s="5" t="s">
        <v>10</v>
      </c>
      <c r="B90" s="5" t="s">
        <v>91</v>
      </c>
      <c r="C90" s="5" t="n">
        <v>20</v>
      </c>
      <c r="D90" s="5" t="n">
        <v>40</v>
      </c>
      <c r="E90" s="5" t="n">
        <v>80</v>
      </c>
      <c r="F90" s="5" t="n">
        <v>50</v>
      </c>
      <c r="J90" s="5" t="n">
        <v>30</v>
      </c>
      <c r="K90" s="5" t="s">
        <v>40</v>
      </c>
      <c r="L90" s="5" t="e">
        <f aca="false">AVERAGE(IFERROR(VLOOKUP($K90,Olympiade_1!$B:$F,5,FALSE()),""),IFERROR(VLOOKUP($K90,Olympiade_2!$B:$F,5,FALSE()),""),IFERROR(VLOOKUP($K90,Olympiade_3!$B:$F,5,FALSE()),""),IFERROR(VLOOKUP($K90,Olympiade_4!$B:$F,5,FALSE()),""),IFERROR(VLOOKUP($K90,Olympiade_5!$B:$F,5,FALSE()),""),IFERROR(VLOOKUP($K90,Olympiade_6!$B:$F,5,FALSE()),""))</f>
        <v>#VALUE!</v>
      </c>
      <c r="M90" s="5" t="n">
        <f aca="false">SUMIFS(Database!B:B,Database!A:A,K90) + SUMIFS(Database!D:D,Database!A:A,K90)</f>
        <v>10</v>
      </c>
      <c r="N90" s="5" t="n">
        <f aca="false">SUMIFS(Database!B:B,Database!A:A,K90) + SUMIFS(Database!E:E,Database!A:A,K90)</f>
        <v>10</v>
      </c>
      <c r="P90" s="5" t="n">
        <f aca="false">SUMIFS(Database!B:B,Database!A:A,K90) + SUMIFS(Database!F:F,Database!A:A,K90)</f>
        <v>10</v>
      </c>
      <c r="Q90" s="5" t="n">
        <f aca="false">AVERAGE(L33,M33,N33)</f>
        <v>16.6666666666667</v>
      </c>
    </row>
    <row r="91" customFormat="false" ht="15.75" hidden="false" customHeight="true" outlineLevel="0" collapsed="false">
      <c r="A91" s="5" t="s">
        <v>13</v>
      </c>
      <c r="B91" s="5" t="s">
        <v>92</v>
      </c>
      <c r="C91" s="5" t="n">
        <v>60</v>
      </c>
      <c r="D91" s="5" t="n">
        <v>90</v>
      </c>
      <c r="E91" s="5" t="n">
        <v>80</v>
      </c>
      <c r="F91" s="5" t="n">
        <v>90</v>
      </c>
    </row>
    <row r="92" customFormat="false" ht="15.75" hidden="false" customHeight="true" outlineLevel="0" collapsed="false">
      <c r="A92" s="5" t="s">
        <v>14</v>
      </c>
      <c r="B92" s="13" t="s">
        <v>92</v>
      </c>
      <c r="C92" s="5" t="n">
        <v>60</v>
      </c>
      <c r="D92" s="5" t="n">
        <v>90</v>
      </c>
      <c r="E92" s="5" t="n">
        <v>80</v>
      </c>
      <c r="F92" s="5" t="n">
        <v>90</v>
      </c>
    </row>
    <row r="93" customFormat="false" ht="15.75" hidden="false" customHeight="true" outlineLevel="0" collapsed="false">
      <c r="A93" s="5" t="s">
        <v>15</v>
      </c>
      <c r="B93" s="5" t="s">
        <v>92</v>
      </c>
      <c r="C93" s="5" t="n">
        <v>80</v>
      </c>
      <c r="D93" s="5" t="n">
        <v>60</v>
      </c>
      <c r="E93" s="5" t="n">
        <v>50</v>
      </c>
      <c r="F93" s="5" t="n">
        <v>80</v>
      </c>
    </row>
    <row r="94" customFormat="false" ht="15.75" hidden="false" customHeight="true" outlineLevel="0" collapsed="false">
      <c r="A94" s="5" t="s">
        <v>6</v>
      </c>
      <c r="B94" s="13" t="s">
        <v>92</v>
      </c>
      <c r="C94" s="5" t="n">
        <v>80</v>
      </c>
      <c r="D94" s="5" t="n">
        <v>60</v>
      </c>
      <c r="E94" s="5" t="n">
        <v>50</v>
      </c>
      <c r="F94" s="5" t="n">
        <v>80</v>
      </c>
    </row>
    <row r="95" customFormat="false" ht="15.75" hidden="false" customHeight="true" outlineLevel="0" collapsed="false">
      <c r="A95" s="5" t="s">
        <v>12</v>
      </c>
      <c r="B95" s="5" t="s">
        <v>92</v>
      </c>
      <c r="C95" s="5" t="n">
        <v>90</v>
      </c>
      <c r="D95" s="5" t="n">
        <v>80</v>
      </c>
      <c r="E95" s="5" t="n">
        <v>10</v>
      </c>
      <c r="F95" s="5" t="n">
        <v>70</v>
      </c>
    </row>
    <row r="96" customFormat="false" ht="15.75" hidden="false" customHeight="true" outlineLevel="0" collapsed="false">
      <c r="A96" s="5" t="s">
        <v>27</v>
      </c>
      <c r="B96" s="13" t="s">
        <v>92</v>
      </c>
      <c r="C96" s="5" t="n">
        <v>90</v>
      </c>
      <c r="D96" s="5" t="n">
        <v>80</v>
      </c>
      <c r="E96" s="5" t="n">
        <v>10</v>
      </c>
      <c r="F96" s="5" t="n">
        <v>70</v>
      </c>
    </row>
    <row r="97" customFormat="false" ht="15.75" hidden="false" customHeight="true" outlineLevel="0" collapsed="false">
      <c r="A97" s="5" t="s">
        <v>8</v>
      </c>
      <c r="B97" s="5" t="s">
        <v>92</v>
      </c>
      <c r="C97" s="5" t="n">
        <v>50</v>
      </c>
      <c r="D97" s="5" t="n">
        <v>40</v>
      </c>
      <c r="E97" s="5" t="n">
        <v>90</v>
      </c>
      <c r="F97" s="5" t="n">
        <v>70</v>
      </c>
    </row>
    <row r="98" customFormat="false" ht="15.75" hidden="false" customHeight="true" outlineLevel="0" collapsed="false">
      <c r="A98" s="5" t="s">
        <v>17</v>
      </c>
      <c r="B98" s="13" t="s">
        <v>92</v>
      </c>
      <c r="C98" s="5" t="n">
        <v>50</v>
      </c>
      <c r="D98" s="5" t="n">
        <v>40</v>
      </c>
      <c r="E98" s="5" t="n">
        <v>90</v>
      </c>
      <c r="F98" s="5" t="n">
        <v>70</v>
      </c>
    </row>
    <row r="99" customFormat="false" ht="15.75" hidden="false" customHeight="true" outlineLevel="0" collapsed="false">
      <c r="A99" s="5" t="s">
        <v>34</v>
      </c>
      <c r="B99" s="5" t="s">
        <v>92</v>
      </c>
      <c r="C99" s="5" t="n">
        <v>20</v>
      </c>
      <c r="D99" s="5" t="n">
        <v>70</v>
      </c>
      <c r="E99" s="5" t="n">
        <v>60</v>
      </c>
      <c r="F99" s="5" t="n">
        <v>50</v>
      </c>
    </row>
    <row r="100" customFormat="false" ht="15.75" hidden="false" customHeight="true" outlineLevel="0" collapsed="false">
      <c r="A100" s="5" t="s">
        <v>16</v>
      </c>
      <c r="B100" s="13" t="s">
        <v>92</v>
      </c>
      <c r="C100" s="5" t="n">
        <v>20</v>
      </c>
      <c r="D100" s="5" t="n">
        <v>70</v>
      </c>
      <c r="E100" s="5" t="n">
        <v>60</v>
      </c>
      <c r="F100" s="5" t="n">
        <v>50</v>
      </c>
    </row>
    <row r="101" customFormat="false" ht="15.75" hidden="false" customHeight="true" outlineLevel="0" collapsed="false">
      <c r="A101" s="5" t="s">
        <v>35</v>
      </c>
      <c r="B101" s="5" t="s">
        <v>92</v>
      </c>
      <c r="C101" s="5" t="n">
        <v>70</v>
      </c>
      <c r="D101" s="5" t="n">
        <v>20</v>
      </c>
      <c r="E101" s="5" t="n">
        <v>40</v>
      </c>
      <c r="F101" s="5" t="n">
        <v>40</v>
      </c>
    </row>
    <row r="102" customFormat="false" ht="15.75" hidden="false" customHeight="true" outlineLevel="0" collapsed="false">
      <c r="A102" s="5" t="s">
        <v>25</v>
      </c>
      <c r="B102" s="13" t="s">
        <v>92</v>
      </c>
      <c r="C102" s="5" t="n">
        <v>70</v>
      </c>
      <c r="D102" s="5" t="n">
        <v>20</v>
      </c>
      <c r="E102" s="5" t="n">
        <v>40</v>
      </c>
      <c r="F102" s="5" t="n">
        <v>40</v>
      </c>
    </row>
    <row r="103" customFormat="false" ht="15.75" hidden="false" customHeight="true" outlineLevel="0" collapsed="false">
      <c r="A103" s="5" t="s">
        <v>9</v>
      </c>
      <c r="B103" s="5" t="s">
        <v>92</v>
      </c>
      <c r="C103" s="5" t="n">
        <v>40</v>
      </c>
      <c r="D103" s="5" t="n">
        <v>10</v>
      </c>
      <c r="E103" s="5" t="n">
        <v>70</v>
      </c>
      <c r="F103" s="5" t="n">
        <v>30</v>
      </c>
    </row>
    <row r="104" customFormat="false" ht="15.75" hidden="false" customHeight="true" outlineLevel="0" collapsed="false">
      <c r="A104" s="5" t="s">
        <v>19</v>
      </c>
      <c r="B104" s="13" t="s">
        <v>92</v>
      </c>
      <c r="C104" s="5" t="n">
        <v>40</v>
      </c>
      <c r="D104" s="5" t="n">
        <v>10</v>
      </c>
      <c r="E104" s="5" t="n">
        <v>70</v>
      </c>
      <c r="F104" s="5" t="n">
        <v>30</v>
      </c>
    </row>
    <row r="105" customFormat="false" ht="15.75" hidden="false" customHeight="true" outlineLevel="0" collapsed="false">
      <c r="A105" s="5" t="s">
        <v>7</v>
      </c>
      <c r="B105" s="5" t="s">
        <v>92</v>
      </c>
      <c r="C105" s="5" t="n">
        <v>30</v>
      </c>
      <c r="D105" s="5" t="n">
        <v>50</v>
      </c>
      <c r="E105" s="5" t="n">
        <v>30</v>
      </c>
      <c r="F105" s="5" t="n">
        <v>20</v>
      </c>
    </row>
    <row r="106" customFormat="false" ht="15.75" hidden="false" customHeight="true" outlineLevel="0" collapsed="false">
      <c r="A106" s="5" t="s">
        <v>22</v>
      </c>
      <c r="B106" s="13" t="s">
        <v>92</v>
      </c>
      <c r="C106" s="5" t="n">
        <v>30</v>
      </c>
      <c r="D106" s="5" t="n">
        <v>50</v>
      </c>
      <c r="E106" s="5" t="n">
        <v>30</v>
      </c>
      <c r="F106" s="5" t="n">
        <v>20</v>
      </c>
    </row>
    <row r="107" customFormat="false" ht="15.75" hidden="false" customHeight="true" outlineLevel="0" collapsed="false">
      <c r="A107" s="0" t="s">
        <v>38</v>
      </c>
      <c r="B107" s="5" t="s">
        <v>92</v>
      </c>
      <c r="C107" s="0" t="n">
        <v>10</v>
      </c>
      <c r="D107" s="0" t="n">
        <v>30</v>
      </c>
      <c r="E107" s="0" t="n">
        <v>20</v>
      </c>
      <c r="F107" s="5" t="n">
        <v>10</v>
      </c>
    </row>
    <row r="108" customFormat="false" ht="15.75" hidden="false" customHeight="true" outlineLevel="0" collapsed="false">
      <c r="A108" s="0" t="s">
        <v>24</v>
      </c>
      <c r="B108" s="13" t="s">
        <v>92</v>
      </c>
      <c r="C108" s="0" t="n">
        <v>10</v>
      </c>
      <c r="D108" s="0" t="n">
        <v>30</v>
      </c>
      <c r="E108" s="0" t="n">
        <v>20</v>
      </c>
      <c r="F108" s="5" t="n">
        <v>10</v>
      </c>
    </row>
    <row r="109" customFormat="false" ht="15.75" hidden="false" customHeight="true" outlineLevel="0" collapsed="false">
      <c r="B109" s="5"/>
    </row>
    <row r="110" customFormat="false" ht="15.75" hidden="false" customHeight="true" outlineLevel="0" collapsed="false">
      <c r="B110" s="5"/>
    </row>
    <row r="111" customFormat="false" ht="15.75" hidden="false" customHeight="true" outlineLevel="0" collapsed="false">
      <c r="B111" s="5"/>
    </row>
    <row r="112" customFormat="false" ht="15.75" hidden="false" customHeight="true" outlineLevel="0" collapsed="false">
      <c r="B112" s="5"/>
    </row>
    <row r="113" customFormat="false" ht="15.75" hidden="false" customHeight="true" outlineLevel="0" collapsed="false">
      <c r="B113" s="5"/>
    </row>
    <row r="114" customFormat="false" ht="15.75" hidden="false" customHeight="true" outlineLevel="0" collapsed="false">
      <c r="B114" s="5"/>
    </row>
    <row r="115" customFormat="false" ht="15.75" hidden="false" customHeight="true" outlineLevel="0" collapsed="false">
      <c r="B115" s="5"/>
    </row>
    <row r="116" customFormat="false" ht="15.75" hidden="false" customHeight="true" outlineLevel="0" collapsed="false">
      <c r="B116" s="5"/>
    </row>
    <row r="117" customFormat="false" ht="15.75" hidden="false" customHeight="true" outlineLevel="0" collapsed="false">
      <c r="B117" s="5"/>
    </row>
    <row r="118" customFormat="false" ht="15.75" hidden="false" customHeight="true" outlineLevel="0" collapsed="false">
      <c r="B118" s="5"/>
    </row>
    <row r="119" customFormat="false" ht="15.75" hidden="false" customHeight="true" outlineLevel="0" collapsed="false">
      <c r="B119" s="5"/>
    </row>
    <row r="120" customFormat="false" ht="15.75" hidden="false" customHeight="true" outlineLevel="0" collapsed="false">
      <c r="B120" s="5"/>
    </row>
    <row r="121" customFormat="false" ht="15.75" hidden="false" customHeight="true" outlineLevel="0" collapsed="false">
      <c r="B121" s="5"/>
    </row>
    <row r="122" customFormat="false" ht="15.75" hidden="false" customHeight="true" outlineLevel="0" collapsed="false">
      <c r="B122" s="5"/>
    </row>
    <row r="123" customFormat="false" ht="15.75" hidden="false" customHeight="true" outlineLevel="0" collapsed="false">
      <c r="B123" s="5"/>
    </row>
    <row r="124" customFormat="false" ht="15.75" hidden="false" customHeight="true" outlineLevel="0" collapsed="false">
      <c r="B124" s="5"/>
    </row>
    <row r="125" customFormat="false" ht="15.75" hidden="false" customHeight="true" outlineLevel="0" collapsed="false">
      <c r="B125" s="5"/>
    </row>
    <row r="126" customFormat="false" ht="15.75" hidden="false" customHeight="true" outlineLevel="0" collapsed="false">
      <c r="B126" s="5"/>
    </row>
    <row r="127" customFormat="false" ht="15.75" hidden="false" customHeight="true" outlineLevel="0" collapsed="false">
      <c r="B127" s="5"/>
    </row>
    <row r="128" customFormat="false" ht="15.75" hidden="false" customHeight="true" outlineLevel="0" collapsed="false">
      <c r="B128" s="5"/>
    </row>
    <row r="129" customFormat="false" ht="15.75" hidden="false" customHeight="true" outlineLevel="0" collapsed="false">
      <c r="B129" s="5"/>
    </row>
    <row r="130" customFormat="false" ht="15.75" hidden="false" customHeight="true" outlineLevel="0" collapsed="false">
      <c r="B130" s="5"/>
    </row>
    <row r="131" customFormat="false" ht="15.75" hidden="false" customHeight="true" outlineLevel="0" collapsed="false">
      <c r="B131" s="5"/>
    </row>
    <row r="132" customFormat="false" ht="15.75" hidden="false" customHeight="true" outlineLevel="0" collapsed="false">
      <c r="B132" s="5"/>
    </row>
    <row r="133" customFormat="false" ht="15.75" hidden="false" customHeight="true" outlineLevel="0" collapsed="false">
      <c r="B133" s="5"/>
    </row>
    <row r="134" customFormat="false" ht="15.75" hidden="false" customHeight="true" outlineLevel="0" collapsed="false">
      <c r="B134" s="5"/>
    </row>
    <row r="135" customFormat="false" ht="15.75" hidden="false" customHeight="true" outlineLevel="0" collapsed="false">
      <c r="B135" s="5"/>
    </row>
    <row r="136" customFormat="false" ht="15.75" hidden="false" customHeight="true" outlineLevel="0" collapsed="false">
      <c r="B136" s="5"/>
    </row>
    <row r="137" customFormat="false" ht="15.75" hidden="false" customHeight="true" outlineLevel="0" collapsed="false">
      <c r="B137" s="5"/>
    </row>
    <row r="138" customFormat="false" ht="15.75" hidden="false" customHeight="true" outlineLevel="0" collapsed="false">
      <c r="B138" s="5"/>
    </row>
    <row r="139" customFormat="false" ht="15.75" hidden="false" customHeight="true" outlineLevel="0" collapsed="false">
      <c r="B139" s="5"/>
    </row>
    <row r="140" customFormat="false" ht="15.75" hidden="false" customHeight="true" outlineLevel="0" collapsed="false">
      <c r="B140" s="5"/>
    </row>
    <row r="141" customFormat="false" ht="15.75" hidden="false" customHeight="true" outlineLevel="0" collapsed="false">
      <c r="B141" s="5"/>
    </row>
    <row r="142" customFormat="false" ht="15.75" hidden="false" customHeight="true" outlineLevel="0" collapsed="false">
      <c r="B142" s="5"/>
    </row>
    <row r="143" customFormat="false" ht="15.75" hidden="false" customHeight="true" outlineLevel="0" collapsed="false">
      <c r="B143" s="5"/>
    </row>
    <row r="144" customFormat="false" ht="15.75" hidden="false" customHeight="true" outlineLevel="0" collapsed="false">
      <c r="B144" s="5"/>
    </row>
    <row r="145" customFormat="false" ht="15.75" hidden="false" customHeight="true" outlineLevel="0" collapsed="false">
      <c r="B145" s="5"/>
    </row>
    <row r="146" customFormat="false" ht="15.75" hidden="false" customHeight="true" outlineLevel="0" collapsed="false">
      <c r="B146" s="5"/>
    </row>
    <row r="147" customFormat="false" ht="15.75" hidden="false" customHeight="true" outlineLevel="0" collapsed="false">
      <c r="B147" s="5"/>
    </row>
    <row r="148" customFormat="false" ht="15.75" hidden="false" customHeight="true" outlineLevel="0" collapsed="false">
      <c r="B148" s="5"/>
    </row>
    <row r="149" customFormat="false" ht="15.75" hidden="false" customHeight="true" outlineLevel="0" collapsed="false">
      <c r="B149" s="5"/>
    </row>
    <row r="150" customFormat="false" ht="15.75" hidden="false" customHeight="true" outlineLevel="0" collapsed="false">
      <c r="B150" s="5"/>
    </row>
    <row r="151" customFormat="false" ht="15.75" hidden="false" customHeight="true" outlineLevel="0" collapsed="false">
      <c r="B151" s="5"/>
    </row>
    <row r="152" customFormat="false" ht="15.75" hidden="false" customHeight="true" outlineLevel="0" collapsed="false">
      <c r="B152" s="5"/>
    </row>
    <row r="153" customFormat="false" ht="15.75" hidden="false" customHeight="true" outlineLevel="0" collapsed="false">
      <c r="B153" s="5"/>
    </row>
    <row r="154" customFormat="false" ht="15.75" hidden="false" customHeight="true" outlineLevel="0" collapsed="false">
      <c r="B154" s="5"/>
    </row>
    <row r="155" customFormat="false" ht="15.75" hidden="false" customHeight="true" outlineLevel="0" collapsed="false">
      <c r="B155" s="5"/>
    </row>
    <row r="156" customFormat="false" ht="15.75" hidden="false" customHeight="true" outlineLevel="0" collapsed="false">
      <c r="B156" s="5"/>
    </row>
    <row r="157" customFormat="false" ht="15.75" hidden="false" customHeight="true" outlineLevel="0" collapsed="false">
      <c r="B157" s="5"/>
    </row>
    <row r="158" customFormat="false" ht="15.75" hidden="false" customHeight="true" outlineLevel="0" collapsed="false">
      <c r="B158" s="5"/>
    </row>
    <row r="159" customFormat="false" ht="15.75" hidden="false" customHeight="true" outlineLevel="0" collapsed="false">
      <c r="B159" s="5"/>
    </row>
    <row r="160" customFormat="false" ht="15.75" hidden="false" customHeight="true" outlineLevel="0" collapsed="false">
      <c r="B160" s="5"/>
    </row>
    <row r="161" customFormat="false" ht="15.75" hidden="false" customHeight="true" outlineLevel="0" collapsed="false">
      <c r="B161" s="5"/>
    </row>
    <row r="162" customFormat="false" ht="15.75" hidden="false" customHeight="true" outlineLevel="0" collapsed="false">
      <c r="B162" s="5"/>
    </row>
    <row r="163" customFormat="false" ht="15.75" hidden="false" customHeight="true" outlineLevel="0" collapsed="false">
      <c r="B163" s="5"/>
    </row>
    <row r="164" customFormat="false" ht="15.75" hidden="false" customHeight="true" outlineLevel="0" collapsed="false">
      <c r="B164" s="5"/>
    </row>
    <row r="165" customFormat="false" ht="15.75" hidden="false" customHeight="true" outlineLevel="0" collapsed="false">
      <c r="B165" s="5"/>
    </row>
    <row r="166" customFormat="false" ht="15.75" hidden="false" customHeight="true" outlineLevel="0" collapsed="false">
      <c r="B166" s="5"/>
    </row>
    <row r="167" customFormat="false" ht="15.75" hidden="false" customHeight="true" outlineLevel="0" collapsed="false">
      <c r="B167" s="5"/>
    </row>
    <row r="168" customFormat="false" ht="15.75" hidden="false" customHeight="true" outlineLevel="0" collapsed="false">
      <c r="B168" s="5"/>
    </row>
    <row r="169" customFormat="false" ht="15.75" hidden="false" customHeight="true" outlineLevel="0" collapsed="false">
      <c r="B169" s="5"/>
    </row>
    <row r="170" customFormat="false" ht="15.75" hidden="false" customHeight="true" outlineLevel="0" collapsed="false">
      <c r="B170" s="5"/>
    </row>
    <row r="171" customFormat="false" ht="15.75" hidden="false" customHeight="true" outlineLevel="0" collapsed="false">
      <c r="B171" s="5"/>
    </row>
    <row r="172" customFormat="false" ht="15.75" hidden="false" customHeight="true" outlineLevel="0" collapsed="false">
      <c r="B172" s="5"/>
    </row>
    <row r="173" customFormat="false" ht="15.75" hidden="false" customHeight="true" outlineLevel="0" collapsed="false">
      <c r="B173" s="5"/>
    </row>
    <row r="174" customFormat="false" ht="15.75" hidden="false" customHeight="true" outlineLevel="0" collapsed="false">
      <c r="B174" s="5"/>
    </row>
    <row r="175" customFormat="false" ht="15.75" hidden="false" customHeight="true" outlineLevel="0" collapsed="false">
      <c r="B175" s="5"/>
    </row>
    <row r="176" customFormat="false" ht="15.75" hidden="false" customHeight="true" outlineLevel="0" collapsed="false">
      <c r="B176" s="5"/>
    </row>
    <row r="177" customFormat="false" ht="15.75" hidden="false" customHeight="true" outlineLevel="0" collapsed="false">
      <c r="B177" s="5"/>
    </row>
    <row r="178" customFormat="false" ht="15.75" hidden="false" customHeight="true" outlineLevel="0" collapsed="false">
      <c r="B178" s="5"/>
    </row>
    <row r="179" customFormat="false" ht="15.75" hidden="false" customHeight="true" outlineLevel="0" collapsed="false">
      <c r="B179" s="5"/>
    </row>
    <row r="180" customFormat="false" ht="15.75" hidden="false" customHeight="true" outlineLevel="0" collapsed="false">
      <c r="B180" s="5"/>
    </row>
    <row r="181" customFormat="false" ht="15.75" hidden="false" customHeight="true" outlineLevel="0" collapsed="false">
      <c r="B181" s="5"/>
    </row>
    <row r="182" customFormat="false" ht="15.75" hidden="false" customHeight="true" outlineLevel="0" collapsed="false">
      <c r="B182" s="5"/>
    </row>
    <row r="183" customFormat="false" ht="15.75" hidden="false" customHeight="true" outlineLevel="0" collapsed="false">
      <c r="B183" s="5"/>
    </row>
    <row r="184" customFormat="false" ht="15.75" hidden="false" customHeight="true" outlineLevel="0" collapsed="false">
      <c r="B184" s="5"/>
    </row>
    <row r="185" customFormat="false" ht="15.75" hidden="false" customHeight="true" outlineLevel="0" collapsed="false">
      <c r="B185" s="5"/>
    </row>
    <row r="186" customFormat="false" ht="15.75" hidden="false" customHeight="true" outlineLevel="0" collapsed="false">
      <c r="B186" s="5"/>
    </row>
    <row r="187" customFormat="false" ht="15.75" hidden="false" customHeight="true" outlineLevel="0" collapsed="false">
      <c r="B187" s="5"/>
    </row>
    <row r="188" customFormat="false" ht="15.75" hidden="false" customHeight="true" outlineLevel="0" collapsed="false">
      <c r="B188" s="5"/>
    </row>
    <row r="189" customFormat="false" ht="15.75" hidden="false" customHeight="true" outlineLevel="0" collapsed="false">
      <c r="B189" s="5"/>
    </row>
    <row r="190" customFormat="false" ht="15.75" hidden="false" customHeight="true" outlineLevel="0" collapsed="false">
      <c r="B190" s="5"/>
    </row>
    <row r="191" customFormat="false" ht="15.75" hidden="false" customHeight="true" outlineLevel="0" collapsed="false">
      <c r="B191" s="5"/>
    </row>
    <row r="192" customFormat="false" ht="15.75" hidden="false" customHeight="true" outlineLevel="0" collapsed="false">
      <c r="B192" s="5"/>
    </row>
    <row r="193" customFormat="false" ht="15.75" hidden="false" customHeight="true" outlineLevel="0" collapsed="false">
      <c r="B193" s="5"/>
    </row>
    <row r="194" customFormat="false" ht="15.75" hidden="false" customHeight="true" outlineLevel="0" collapsed="false">
      <c r="B194" s="5"/>
    </row>
    <row r="195" customFormat="false" ht="15.75" hidden="false" customHeight="true" outlineLevel="0" collapsed="false">
      <c r="B195" s="5"/>
    </row>
    <row r="196" customFormat="false" ht="15.75" hidden="false" customHeight="true" outlineLevel="0" collapsed="false">
      <c r="B196" s="5"/>
    </row>
    <row r="197" customFormat="false" ht="15.75" hidden="false" customHeight="true" outlineLevel="0" collapsed="false">
      <c r="B197" s="5"/>
    </row>
    <row r="198" customFormat="false" ht="15.75" hidden="false" customHeight="true" outlineLevel="0" collapsed="false">
      <c r="B198" s="5"/>
    </row>
    <row r="199" customFormat="false" ht="15.75" hidden="false" customHeight="true" outlineLevel="0" collapsed="false">
      <c r="B199" s="5"/>
    </row>
    <row r="200" customFormat="false" ht="15.75" hidden="false" customHeight="true" outlineLevel="0" collapsed="false">
      <c r="B200" s="5"/>
    </row>
    <row r="201" customFormat="false" ht="15.75" hidden="false" customHeight="true" outlineLevel="0" collapsed="false">
      <c r="B201" s="5"/>
    </row>
    <row r="202" customFormat="false" ht="15.75" hidden="false" customHeight="true" outlineLevel="0" collapsed="false">
      <c r="B202" s="5"/>
    </row>
    <row r="203" customFormat="false" ht="15.75" hidden="false" customHeight="true" outlineLevel="0" collapsed="false">
      <c r="B203" s="5"/>
    </row>
    <row r="204" customFormat="false" ht="15.75" hidden="false" customHeight="true" outlineLevel="0" collapsed="false">
      <c r="B204" s="5"/>
    </row>
    <row r="205" customFormat="false" ht="15.75" hidden="false" customHeight="true" outlineLevel="0" collapsed="false">
      <c r="B205" s="5"/>
    </row>
    <row r="206" customFormat="false" ht="15.75" hidden="false" customHeight="true" outlineLevel="0" collapsed="false">
      <c r="B206" s="5"/>
    </row>
    <row r="207" customFormat="false" ht="15.75" hidden="false" customHeight="true" outlineLevel="0" collapsed="false">
      <c r="B207" s="5"/>
    </row>
    <row r="208" customFormat="false" ht="15.75" hidden="false" customHeight="true" outlineLevel="0" collapsed="false">
      <c r="B208" s="5"/>
    </row>
    <row r="209" customFormat="false" ht="15.75" hidden="false" customHeight="true" outlineLevel="0" collapsed="false">
      <c r="B209" s="5"/>
    </row>
    <row r="210" customFormat="false" ht="15.75" hidden="false" customHeight="true" outlineLevel="0" collapsed="false">
      <c r="B210" s="5"/>
    </row>
    <row r="211" customFormat="false" ht="15.75" hidden="false" customHeight="true" outlineLevel="0" collapsed="false">
      <c r="B211" s="5"/>
    </row>
    <row r="212" customFormat="false" ht="15.75" hidden="false" customHeight="true" outlineLevel="0" collapsed="false">
      <c r="B212" s="5"/>
    </row>
    <row r="213" customFormat="false" ht="15.75" hidden="false" customHeight="true" outlineLevel="0" collapsed="false">
      <c r="B213" s="5"/>
    </row>
    <row r="214" customFormat="false" ht="15.75" hidden="false" customHeight="true" outlineLevel="0" collapsed="false">
      <c r="B214" s="5"/>
    </row>
    <row r="215" customFormat="false" ht="15.75" hidden="false" customHeight="true" outlineLevel="0" collapsed="false">
      <c r="B215" s="5"/>
    </row>
    <row r="216" customFormat="false" ht="15.75" hidden="false" customHeight="true" outlineLevel="0" collapsed="false">
      <c r="B216" s="5"/>
    </row>
    <row r="217" customFormat="false" ht="15.75" hidden="false" customHeight="true" outlineLevel="0" collapsed="false">
      <c r="B217" s="5"/>
    </row>
    <row r="218" customFormat="false" ht="15.75" hidden="false" customHeight="true" outlineLevel="0" collapsed="false">
      <c r="B218" s="5"/>
    </row>
    <row r="219" customFormat="false" ht="15.75" hidden="false" customHeight="true" outlineLevel="0" collapsed="false">
      <c r="B219" s="5"/>
    </row>
    <row r="220" customFormat="false" ht="15.75" hidden="false" customHeight="true" outlineLevel="0" collapsed="false">
      <c r="B220" s="5"/>
    </row>
    <row r="221" customFormat="false" ht="15.75" hidden="false" customHeight="true" outlineLevel="0" collapsed="false">
      <c r="B221" s="5"/>
    </row>
    <row r="222" customFormat="false" ht="15.75" hidden="false" customHeight="true" outlineLevel="0" collapsed="false">
      <c r="B222" s="5"/>
    </row>
    <row r="223" customFormat="false" ht="15.75" hidden="false" customHeight="true" outlineLevel="0" collapsed="false">
      <c r="B223" s="5"/>
    </row>
    <row r="224" customFormat="false" ht="15.75" hidden="false" customHeight="true" outlineLevel="0" collapsed="false">
      <c r="B224" s="5"/>
    </row>
    <row r="225" customFormat="false" ht="15.75" hidden="false" customHeight="true" outlineLevel="0" collapsed="false">
      <c r="B225" s="5"/>
    </row>
    <row r="226" customFormat="false" ht="15.75" hidden="false" customHeight="true" outlineLevel="0" collapsed="false">
      <c r="B226" s="5"/>
    </row>
    <row r="227" customFormat="false" ht="15.75" hidden="false" customHeight="true" outlineLevel="0" collapsed="false">
      <c r="B227" s="5"/>
    </row>
    <row r="228" customFormat="false" ht="15.75" hidden="false" customHeight="true" outlineLevel="0" collapsed="false">
      <c r="B228" s="5"/>
    </row>
    <row r="229" customFormat="false" ht="15.75" hidden="false" customHeight="true" outlineLevel="0" collapsed="false">
      <c r="B229" s="5"/>
    </row>
    <row r="230" customFormat="false" ht="15.75" hidden="false" customHeight="true" outlineLevel="0" collapsed="false">
      <c r="B230" s="5"/>
    </row>
    <row r="231" customFormat="false" ht="15.75" hidden="false" customHeight="true" outlineLevel="0" collapsed="false">
      <c r="B231" s="5"/>
    </row>
    <row r="232" customFormat="false" ht="15.75" hidden="false" customHeight="true" outlineLevel="0" collapsed="false">
      <c r="B232" s="5"/>
    </row>
    <row r="233" customFormat="false" ht="15.75" hidden="false" customHeight="true" outlineLevel="0" collapsed="false">
      <c r="B233" s="5"/>
    </row>
    <row r="234" customFormat="false" ht="15.75" hidden="false" customHeight="true" outlineLevel="0" collapsed="false">
      <c r="B234" s="5"/>
    </row>
    <row r="235" customFormat="false" ht="15.75" hidden="false" customHeight="true" outlineLevel="0" collapsed="false">
      <c r="B235" s="5"/>
    </row>
    <row r="236" customFormat="false" ht="15.75" hidden="false" customHeight="true" outlineLevel="0" collapsed="false">
      <c r="B236" s="5"/>
    </row>
    <row r="237" customFormat="false" ht="15.75" hidden="false" customHeight="true" outlineLevel="0" collapsed="false">
      <c r="B237" s="5"/>
    </row>
    <row r="238" customFormat="false" ht="15.75" hidden="false" customHeight="true" outlineLevel="0" collapsed="false">
      <c r="B238" s="5"/>
    </row>
    <row r="239" customFormat="false" ht="15.75" hidden="false" customHeight="true" outlineLevel="0" collapsed="false">
      <c r="B239" s="5"/>
    </row>
    <row r="240" customFormat="false" ht="15.75" hidden="false" customHeight="true" outlineLevel="0" collapsed="false">
      <c r="B240" s="5"/>
    </row>
    <row r="241" customFormat="false" ht="15.75" hidden="false" customHeight="true" outlineLevel="0" collapsed="false">
      <c r="B241" s="5"/>
    </row>
    <row r="242" customFormat="false" ht="15.75" hidden="false" customHeight="true" outlineLevel="0" collapsed="false">
      <c r="B242" s="5"/>
    </row>
    <row r="243" customFormat="false" ht="15.75" hidden="false" customHeight="true" outlineLevel="0" collapsed="false">
      <c r="B243" s="5"/>
    </row>
    <row r="244" customFormat="false" ht="15.75" hidden="false" customHeight="true" outlineLevel="0" collapsed="false">
      <c r="B244" s="5"/>
    </row>
    <row r="245" customFormat="false" ht="15.75" hidden="false" customHeight="true" outlineLevel="0" collapsed="false">
      <c r="B245" s="5"/>
    </row>
    <row r="246" customFormat="false" ht="15.75" hidden="false" customHeight="true" outlineLevel="0" collapsed="false">
      <c r="B246" s="5"/>
    </row>
    <row r="247" customFormat="false" ht="15.75" hidden="false" customHeight="true" outlineLevel="0" collapsed="false">
      <c r="B247" s="5"/>
    </row>
    <row r="248" customFormat="false" ht="15.75" hidden="false" customHeight="true" outlineLevel="0" collapsed="false">
      <c r="B248" s="5"/>
    </row>
    <row r="249" customFormat="false" ht="15.75" hidden="false" customHeight="true" outlineLevel="0" collapsed="false">
      <c r="B249" s="5"/>
    </row>
    <row r="250" customFormat="false" ht="15.75" hidden="false" customHeight="true" outlineLevel="0" collapsed="false">
      <c r="B250" s="5"/>
    </row>
    <row r="251" customFormat="false" ht="15.75" hidden="false" customHeight="true" outlineLevel="0" collapsed="false">
      <c r="B251" s="5"/>
    </row>
    <row r="252" customFormat="false" ht="15.75" hidden="false" customHeight="true" outlineLevel="0" collapsed="false">
      <c r="B252" s="5"/>
    </row>
    <row r="253" customFormat="false" ht="15.75" hidden="false" customHeight="true" outlineLevel="0" collapsed="false">
      <c r="B253" s="5"/>
    </row>
    <row r="254" customFormat="false" ht="15.75" hidden="false" customHeight="true" outlineLevel="0" collapsed="false">
      <c r="B254" s="5"/>
    </row>
    <row r="255" customFormat="false" ht="15.75" hidden="false" customHeight="true" outlineLevel="0" collapsed="false">
      <c r="B255" s="5"/>
    </row>
    <row r="256" customFormat="false" ht="15.75" hidden="false" customHeight="true" outlineLevel="0" collapsed="false">
      <c r="B256" s="5"/>
    </row>
    <row r="257" customFormat="false" ht="15.75" hidden="false" customHeight="true" outlineLevel="0" collapsed="false">
      <c r="B257" s="5"/>
    </row>
    <row r="258" customFormat="false" ht="15.75" hidden="false" customHeight="true" outlineLevel="0" collapsed="false">
      <c r="B258" s="5"/>
    </row>
    <row r="259" customFormat="false" ht="15.75" hidden="false" customHeight="true" outlineLevel="0" collapsed="false">
      <c r="B259" s="5"/>
    </row>
    <row r="260" customFormat="false" ht="15.75" hidden="false" customHeight="true" outlineLevel="0" collapsed="false">
      <c r="B260" s="5"/>
    </row>
    <row r="261" customFormat="false" ht="15.75" hidden="false" customHeight="true" outlineLevel="0" collapsed="false">
      <c r="B261" s="5"/>
    </row>
    <row r="262" customFormat="false" ht="15.75" hidden="false" customHeight="true" outlineLevel="0" collapsed="false">
      <c r="B262" s="5"/>
    </row>
    <row r="263" customFormat="false" ht="15.75" hidden="false" customHeight="true" outlineLevel="0" collapsed="false">
      <c r="B263" s="5"/>
    </row>
    <row r="264" customFormat="false" ht="15.75" hidden="false" customHeight="true" outlineLevel="0" collapsed="false">
      <c r="B264" s="5"/>
    </row>
    <row r="265" customFormat="false" ht="15.75" hidden="false" customHeight="true" outlineLevel="0" collapsed="false">
      <c r="B265" s="5"/>
    </row>
    <row r="266" customFormat="false" ht="15.75" hidden="false" customHeight="true" outlineLevel="0" collapsed="false">
      <c r="B266" s="5"/>
    </row>
    <row r="267" customFormat="false" ht="15.75" hidden="false" customHeight="true" outlineLevel="0" collapsed="false">
      <c r="B267" s="5"/>
    </row>
    <row r="268" customFormat="false" ht="15.75" hidden="false" customHeight="true" outlineLevel="0" collapsed="false">
      <c r="B268" s="5"/>
    </row>
    <row r="269" customFormat="false" ht="15.75" hidden="false" customHeight="true" outlineLevel="0" collapsed="false">
      <c r="B269" s="5"/>
    </row>
    <row r="270" customFormat="false" ht="15.75" hidden="false" customHeight="true" outlineLevel="0" collapsed="false">
      <c r="B270" s="5"/>
    </row>
    <row r="271" customFormat="false" ht="15.75" hidden="false" customHeight="true" outlineLevel="0" collapsed="false">
      <c r="B271" s="5"/>
    </row>
    <row r="272" customFormat="false" ht="15.75" hidden="false" customHeight="true" outlineLevel="0" collapsed="false">
      <c r="B272" s="5"/>
    </row>
    <row r="273" customFormat="false" ht="15.75" hidden="false" customHeight="true" outlineLevel="0" collapsed="false">
      <c r="B273" s="5"/>
    </row>
    <row r="274" customFormat="false" ht="15.75" hidden="false" customHeight="true" outlineLevel="0" collapsed="false">
      <c r="B274" s="5"/>
    </row>
    <row r="275" customFormat="false" ht="15.75" hidden="false" customHeight="true" outlineLevel="0" collapsed="false">
      <c r="B275" s="5"/>
    </row>
    <row r="276" customFormat="false" ht="15.75" hidden="false" customHeight="true" outlineLevel="0" collapsed="false">
      <c r="B276" s="5"/>
    </row>
    <row r="277" customFormat="false" ht="15.75" hidden="false" customHeight="true" outlineLevel="0" collapsed="false">
      <c r="B277" s="5"/>
    </row>
    <row r="278" customFormat="false" ht="15.75" hidden="false" customHeight="true" outlineLevel="0" collapsed="false">
      <c r="B278" s="5"/>
    </row>
    <row r="279" customFormat="false" ht="15.75" hidden="false" customHeight="true" outlineLevel="0" collapsed="false">
      <c r="B279" s="5"/>
    </row>
    <row r="280" customFormat="false" ht="15.75" hidden="false" customHeight="true" outlineLevel="0" collapsed="false">
      <c r="B280" s="5"/>
    </row>
    <row r="281" customFormat="false" ht="15.75" hidden="false" customHeight="true" outlineLevel="0" collapsed="false">
      <c r="B281" s="5"/>
    </row>
    <row r="282" customFormat="false" ht="15.75" hidden="false" customHeight="true" outlineLevel="0" collapsed="false">
      <c r="B282" s="5"/>
    </row>
    <row r="283" customFormat="false" ht="15.75" hidden="false" customHeight="true" outlineLevel="0" collapsed="false">
      <c r="B283" s="5"/>
    </row>
    <row r="284" customFormat="false" ht="15.75" hidden="false" customHeight="true" outlineLevel="0" collapsed="false">
      <c r="B284" s="5"/>
    </row>
    <row r="285" customFormat="false" ht="15.75" hidden="false" customHeight="true" outlineLevel="0" collapsed="false">
      <c r="B285" s="5"/>
    </row>
    <row r="286" customFormat="false" ht="15.75" hidden="false" customHeight="true" outlineLevel="0" collapsed="false">
      <c r="B286" s="5"/>
    </row>
    <row r="287" customFormat="false" ht="15.75" hidden="false" customHeight="true" outlineLevel="0" collapsed="false">
      <c r="B287" s="5"/>
    </row>
    <row r="288" customFormat="false" ht="15.75" hidden="false" customHeight="true" outlineLevel="0" collapsed="false">
      <c r="B288" s="5"/>
    </row>
    <row r="289" customFormat="false" ht="15.75" hidden="false" customHeight="true" outlineLevel="0" collapsed="false">
      <c r="B289" s="5"/>
    </row>
    <row r="290" customFormat="false" ht="15.75" hidden="false" customHeight="true" outlineLevel="0" collapsed="false">
      <c r="B290" s="5"/>
    </row>
    <row r="291" customFormat="false" ht="15.75" hidden="false" customHeight="true" outlineLevel="0" collapsed="false">
      <c r="B291" s="5"/>
    </row>
    <row r="292" customFormat="false" ht="15.75" hidden="false" customHeight="true" outlineLevel="0" collapsed="false">
      <c r="B292" s="5"/>
    </row>
    <row r="293" customFormat="false" ht="15.75" hidden="false" customHeight="true" outlineLevel="0" collapsed="false">
      <c r="B293" s="5"/>
    </row>
    <row r="294" customFormat="false" ht="15.75" hidden="false" customHeight="true" outlineLevel="0" collapsed="false">
      <c r="B294" s="5"/>
    </row>
    <row r="295" customFormat="false" ht="15.75" hidden="false" customHeight="true" outlineLevel="0" collapsed="false">
      <c r="B295" s="5"/>
    </row>
    <row r="296" customFormat="false" ht="15.75" hidden="false" customHeight="true" outlineLevel="0" collapsed="false">
      <c r="B296" s="5"/>
    </row>
    <row r="297" customFormat="false" ht="15.75" hidden="false" customHeight="true" outlineLevel="0" collapsed="false">
      <c r="B297" s="5"/>
    </row>
    <row r="298" customFormat="false" ht="15.75" hidden="false" customHeight="true" outlineLevel="0" collapsed="false">
      <c r="B298" s="5"/>
    </row>
    <row r="299" customFormat="false" ht="15.75" hidden="false" customHeight="true" outlineLevel="0" collapsed="false">
      <c r="B299" s="5"/>
    </row>
    <row r="300" customFormat="false" ht="15.75" hidden="false" customHeight="true" outlineLevel="0" collapsed="false">
      <c r="B300" s="5"/>
    </row>
    <row r="301" customFormat="false" ht="15.75" hidden="false" customHeight="true" outlineLevel="0" collapsed="false">
      <c r="B301" s="5"/>
    </row>
    <row r="302" customFormat="false" ht="15.75" hidden="false" customHeight="true" outlineLevel="0" collapsed="false">
      <c r="B302" s="5"/>
    </row>
    <row r="303" customFormat="false" ht="15.75" hidden="false" customHeight="true" outlineLevel="0" collapsed="false">
      <c r="B303" s="5"/>
    </row>
    <row r="304" customFormat="false" ht="15.75" hidden="false" customHeight="true" outlineLevel="0" collapsed="false">
      <c r="B304" s="5"/>
    </row>
    <row r="305" customFormat="false" ht="15.75" hidden="false" customHeight="true" outlineLevel="0" collapsed="false">
      <c r="B305" s="5"/>
    </row>
    <row r="306" customFormat="false" ht="15.75" hidden="false" customHeight="true" outlineLevel="0" collapsed="false">
      <c r="B306" s="5"/>
    </row>
    <row r="307" customFormat="false" ht="15.75" hidden="false" customHeight="true" outlineLevel="0" collapsed="false">
      <c r="B307" s="5"/>
    </row>
    <row r="308" customFormat="false" ht="15.75" hidden="false" customHeight="true" outlineLevel="0" collapsed="false">
      <c r="B308" s="5"/>
    </row>
    <row r="309" customFormat="false" ht="15.75" hidden="false" customHeight="true" outlineLevel="0" collapsed="false">
      <c r="B309" s="5"/>
    </row>
    <row r="310" customFormat="false" ht="15.75" hidden="false" customHeight="true" outlineLevel="0" collapsed="false">
      <c r="B310" s="5"/>
    </row>
    <row r="311" customFormat="false" ht="15.75" hidden="false" customHeight="true" outlineLevel="0" collapsed="false">
      <c r="B311" s="5"/>
    </row>
    <row r="312" customFormat="false" ht="15.75" hidden="false" customHeight="true" outlineLevel="0" collapsed="false">
      <c r="B312" s="5"/>
    </row>
    <row r="313" customFormat="false" ht="15.75" hidden="false" customHeight="true" outlineLevel="0" collapsed="false">
      <c r="B313" s="5"/>
    </row>
    <row r="314" customFormat="false" ht="15.75" hidden="false" customHeight="true" outlineLevel="0" collapsed="false">
      <c r="B314" s="5"/>
    </row>
    <row r="315" customFormat="false" ht="15.75" hidden="false" customHeight="true" outlineLevel="0" collapsed="false">
      <c r="B315" s="5"/>
    </row>
    <row r="316" customFormat="false" ht="15.75" hidden="false" customHeight="true" outlineLevel="0" collapsed="false">
      <c r="B316" s="5"/>
    </row>
    <row r="317" customFormat="false" ht="15.75" hidden="false" customHeight="true" outlineLevel="0" collapsed="false">
      <c r="B317" s="5"/>
    </row>
    <row r="318" customFormat="false" ht="15.75" hidden="false" customHeight="true" outlineLevel="0" collapsed="false">
      <c r="B318" s="5"/>
    </row>
    <row r="319" customFormat="false" ht="15.75" hidden="false" customHeight="true" outlineLevel="0" collapsed="false">
      <c r="B319" s="5"/>
    </row>
    <row r="320" customFormat="false" ht="15.75" hidden="false" customHeight="true" outlineLevel="0" collapsed="false">
      <c r="B320" s="5"/>
    </row>
    <row r="321" customFormat="false" ht="15.75" hidden="false" customHeight="true" outlineLevel="0" collapsed="false">
      <c r="B321" s="5"/>
    </row>
    <row r="322" customFormat="false" ht="15.75" hidden="false" customHeight="true" outlineLevel="0" collapsed="false">
      <c r="B322" s="5"/>
    </row>
    <row r="323" customFormat="false" ht="15.75" hidden="false" customHeight="true" outlineLevel="0" collapsed="false">
      <c r="B323" s="5"/>
    </row>
    <row r="324" customFormat="false" ht="15.75" hidden="false" customHeight="true" outlineLevel="0" collapsed="false">
      <c r="B324" s="5"/>
    </row>
    <row r="325" customFormat="false" ht="15.75" hidden="false" customHeight="true" outlineLevel="0" collapsed="false">
      <c r="B325" s="5"/>
    </row>
    <row r="326" customFormat="false" ht="15.75" hidden="false" customHeight="true" outlineLevel="0" collapsed="false">
      <c r="B326" s="5"/>
    </row>
    <row r="327" customFormat="false" ht="15.75" hidden="false" customHeight="true" outlineLevel="0" collapsed="false">
      <c r="B327" s="5"/>
    </row>
    <row r="328" customFormat="false" ht="15.75" hidden="false" customHeight="true" outlineLevel="0" collapsed="false">
      <c r="B328" s="5"/>
    </row>
    <row r="329" customFormat="false" ht="15.75" hidden="false" customHeight="true" outlineLevel="0" collapsed="false">
      <c r="B329" s="5"/>
    </row>
    <row r="330" customFormat="false" ht="15.75" hidden="false" customHeight="true" outlineLevel="0" collapsed="false">
      <c r="B330" s="5"/>
    </row>
    <row r="331" customFormat="false" ht="15.75" hidden="false" customHeight="true" outlineLevel="0" collapsed="false">
      <c r="B331" s="5"/>
    </row>
    <row r="332" customFormat="false" ht="15.75" hidden="false" customHeight="true" outlineLevel="0" collapsed="false">
      <c r="B332" s="5"/>
    </row>
    <row r="333" customFormat="false" ht="15.75" hidden="false" customHeight="true" outlineLevel="0" collapsed="false">
      <c r="B333" s="5"/>
    </row>
    <row r="334" customFormat="false" ht="15.75" hidden="false" customHeight="true" outlineLevel="0" collapsed="false">
      <c r="B334" s="5"/>
    </row>
    <row r="335" customFormat="false" ht="15.75" hidden="false" customHeight="true" outlineLevel="0" collapsed="false">
      <c r="B335" s="5"/>
    </row>
    <row r="336" customFormat="false" ht="15.75" hidden="false" customHeight="true" outlineLevel="0" collapsed="false">
      <c r="B336" s="5"/>
    </row>
    <row r="337" customFormat="false" ht="15.75" hidden="false" customHeight="true" outlineLevel="0" collapsed="false">
      <c r="B337" s="5"/>
    </row>
    <row r="338" customFormat="false" ht="15.75" hidden="false" customHeight="true" outlineLevel="0" collapsed="false">
      <c r="B338" s="5"/>
    </row>
    <row r="339" customFormat="false" ht="15.75" hidden="false" customHeight="true" outlineLevel="0" collapsed="false">
      <c r="B339" s="5"/>
    </row>
    <row r="340" customFormat="false" ht="15.75" hidden="false" customHeight="true" outlineLevel="0" collapsed="false">
      <c r="B340" s="5"/>
    </row>
    <row r="341" customFormat="false" ht="15.75" hidden="false" customHeight="true" outlineLevel="0" collapsed="false">
      <c r="B341" s="5"/>
    </row>
    <row r="342" customFormat="false" ht="15.75" hidden="false" customHeight="true" outlineLevel="0" collapsed="false">
      <c r="B342" s="5"/>
    </row>
    <row r="343" customFormat="false" ht="15.75" hidden="false" customHeight="true" outlineLevel="0" collapsed="false">
      <c r="B343" s="5"/>
    </row>
    <row r="344" customFormat="false" ht="15.75" hidden="false" customHeight="true" outlineLevel="0" collapsed="false">
      <c r="B344" s="5"/>
    </row>
    <row r="345" customFormat="false" ht="15.75" hidden="false" customHeight="true" outlineLevel="0" collapsed="false">
      <c r="B345" s="5"/>
    </row>
    <row r="346" customFormat="false" ht="15.75" hidden="false" customHeight="true" outlineLevel="0" collapsed="false">
      <c r="B346" s="5"/>
    </row>
    <row r="347" customFormat="false" ht="15.75" hidden="false" customHeight="true" outlineLevel="0" collapsed="false">
      <c r="B347" s="5"/>
    </row>
    <row r="348" customFormat="false" ht="15.75" hidden="false" customHeight="true" outlineLevel="0" collapsed="false">
      <c r="B348" s="5"/>
    </row>
    <row r="349" customFormat="false" ht="15.75" hidden="false" customHeight="true" outlineLevel="0" collapsed="false">
      <c r="B349" s="5"/>
    </row>
    <row r="350" customFormat="false" ht="15.75" hidden="false" customHeight="true" outlineLevel="0" collapsed="false">
      <c r="B350" s="5"/>
    </row>
    <row r="351" customFormat="false" ht="15.75" hidden="false" customHeight="true" outlineLevel="0" collapsed="false">
      <c r="B351" s="5"/>
    </row>
    <row r="352" customFormat="false" ht="15.75" hidden="false" customHeight="true" outlineLevel="0" collapsed="false">
      <c r="B352" s="5"/>
    </row>
    <row r="353" customFormat="false" ht="15.75" hidden="false" customHeight="true" outlineLevel="0" collapsed="false">
      <c r="B353" s="5"/>
    </row>
    <row r="354" customFormat="false" ht="15.75" hidden="false" customHeight="true" outlineLevel="0" collapsed="false">
      <c r="B354" s="5"/>
    </row>
    <row r="355" customFormat="false" ht="15.75" hidden="false" customHeight="true" outlineLevel="0" collapsed="false">
      <c r="B355" s="5"/>
    </row>
    <row r="356" customFormat="false" ht="15.75" hidden="false" customHeight="true" outlineLevel="0" collapsed="false">
      <c r="B356" s="5"/>
    </row>
    <row r="357" customFormat="false" ht="15.75" hidden="false" customHeight="true" outlineLevel="0" collapsed="false">
      <c r="B357" s="5"/>
    </row>
    <row r="358" customFormat="false" ht="15.75" hidden="false" customHeight="true" outlineLevel="0" collapsed="false">
      <c r="B358" s="5"/>
    </row>
    <row r="359" customFormat="false" ht="15.75" hidden="false" customHeight="true" outlineLevel="0" collapsed="false">
      <c r="B359" s="5"/>
    </row>
    <row r="360" customFormat="false" ht="15.75" hidden="false" customHeight="true" outlineLevel="0" collapsed="false">
      <c r="B360" s="5"/>
    </row>
    <row r="361" customFormat="false" ht="15.75" hidden="false" customHeight="true" outlineLevel="0" collapsed="false">
      <c r="B361" s="5"/>
    </row>
    <row r="362" customFormat="false" ht="15.75" hidden="false" customHeight="true" outlineLevel="0" collapsed="false">
      <c r="B362" s="5"/>
    </row>
    <row r="363" customFormat="false" ht="15.75" hidden="false" customHeight="true" outlineLevel="0" collapsed="false">
      <c r="B363" s="5"/>
    </row>
    <row r="364" customFormat="false" ht="15.75" hidden="false" customHeight="true" outlineLevel="0" collapsed="false">
      <c r="B364" s="5"/>
    </row>
    <row r="365" customFormat="false" ht="15.75" hidden="false" customHeight="true" outlineLevel="0" collapsed="false">
      <c r="B365" s="5"/>
    </row>
    <row r="366" customFormat="false" ht="15.75" hidden="false" customHeight="true" outlineLevel="0" collapsed="false">
      <c r="B366" s="5"/>
    </row>
    <row r="367" customFormat="false" ht="15.75" hidden="false" customHeight="true" outlineLevel="0" collapsed="false">
      <c r="B367" s="5"/>
    </row>
    <row r="368" customFormat="false" ht="15.75" hidden="false" customHeight="true" outlineLevel="0" collapsed="false">
      <c r="B368" s="5"/>
    </row>
    <row r="369" customFormat="false" ht="15.75" hidden="false" customHeight="true" outlineLevel="0" collapsed="false">
      <c r="B369" s="5"/>
    </row>
    <row r="370" customFormat="false" ht="15.75" hidden="false" customHeight="true" outlineLevel="0" collapsed="false">
      <c r="B370" s="5"/>
    </row>
    <row r="371" customFormat="false" ht="15.75" hidden="false" customHeight="true" outlineLevel="0" collapsed="false">
      <c r="B371" s="5"/>
    </row>
    <row r="372" customFormat="false" ht="15.75" hidden="false" customHeight="true" outlineLevel="0" collapsed="false">
      <c r="B372" s="5"/>
    </row>
    <row r="373" customFormat="false" ht="15.75" hidden="false" customHeight="true" outlineLevel="0" collapsed="false">
      <c r="B373" s="5"/>
    </row>
    <row r="374" customFormat="false" ht="15.75" hidden="false" customHeight="true" outlineLevel="0" collapsed="false">
      <c r="B374" s="5"/>
    </row>
    <row r="375" customFormat="false" ht="15.75" hidden="false" customHeight="true" outlineLevel="0" collapsed="false">
      <c r="B375" s="5"/>
    </row>
    <row r="376" customFormat="false" ht="15.75" hidden="false" customHeight="true" outlineLevel="0" collapsed="false">
      <c r="B376" s="5"/>
    </row>
    <row r="377" customFormat="false" ht="15.75" hidden="false" customHeight="true" outlineLevel="0" collapsed="false">
      <c r="B377" s="5"/>
    </row>
    <row r="378" customFormat="false" ht="15.75" hidden="false" customHeight="true" outlineLevel="0" collapsed="false">
      <c r="B378" s="5"/>
    </row>
    <row r="379" customFormat="false" ht="15.75" hidden="false" customHeight="true" outlineLevel="0" collapsed="false">
      <c r="B379" s="5"/>
    </row>
    <row r="380" customFormat="false" ht="15.75" hidden="false" customHeight="true" outlineLevel="0" collapsed="false">
      <c r="B380" s="5"/>
    </row>
    <row r="381" customFormat="false" ht="15.75" hidden="false" customHeight="true" outlineLevel="0" collapsed="false">
      <c r="B381" s="5"/>
    </row>
    <row r="382" customFormat="false" ht="15.75" hidden="false" customHeight="true" outlineLevel="0" collapsed="false">
      <c r="B382" s="5"/>
    </row>
    <row r="383" customFormat="false" ht="15.75" hidden="false" customHeight="true" outlineLevel="0" collapsed="false">
      <c r="B383" s="5"/>
    </row>
    <row r="384" customFormat="false" ht="15.75" hidden="false" customHeight="true" outlineLevel="0" collapsed="false">
      <c r="B384" s="5"/>
    </row>
    <row r="385" customFormat="false" ht="15.75" hidden="false" customHeight="true" outlineLevel="0" collapsed="false">
      <c r="B385" s="5"/>
    </row>
    <row r="386" customFormat="false" ht="15.75" hidden="false" customHeight="true" outlineLevel="0" collapsed="false">
      <c r="B386" s="5"/>
    </row>
    <row r="387" customFormat="false" ht="15.75" hidden="false" customHeight="true" outlineLevel="0" collapsed="false">
      <c r="B387" s="5"/>
    </row>
    <row r="388" customFormat="false" ht="15.75" hidden="false" customHeight="true" outlineLevel="0" collapsed="false">
      <c r="B388" s="5"/>
    </row>
    <row r="389" customFormat="false" ht="15.75" hidden="false" customHeight="true" outlineLevel="0" collapsed="false">
      <c r="B389" s="5"/>
    </row>
    <row r="390" customFormat="false" ht="15.75" hidden="false" customHeight="true" outlineLevel="0" collapsed="false">
      <c r="B390" s="5"/>
    </row>
    <row r="391" customFormat="false" ht="15.75" hidden="false" customHeight="true" outlineLevel="0" collapsed="false">
      <c r="B391" s="5"/>
    </row>
    <row r="392" customFormat="false" ht="15.75" hidden="false" customHeight="true" outlineLevel="0" collapsed="false">
      <c r="B392" s="5"/>
    </row>
    <row r="393" customFormat="false" ht="15.75" hidden="false" customHeight="true" outlineLevel="0" collapsed="false">
      <c r="B393" s="5"/>
    </row>
    <row r="394" customFormat="false" ht="15.75" hidden="false" customHeight="true" outlineLevel="0" collapsed="false">
      <c r="B394" s="5"/>
    </row>
    <row r="395" customFormat="false" ht="15.75" hidden="false" customHeight="true" outlineLevel="0" collapsed="false">
      <c r="B395" s="5"/>
    </row>
    <row r="396" customFormat="false" ht="15.75" hidden="false" customHeight="true" outlineLevel="0" collapsed="false">
      <c r="B396" s="5"/>
    </row>
    <row r="397" customFormat="false" ht="15.75" hidden="false" customHeight="true" outlineLevel="0" collapsed="false">
      <c r="B397" s="5"/>
    </row>
    <row r="398" customFormat="false" ht="15.75" hidden="false" customHeight="true" outlineLevel="0" collapsed="false">
      <c r="B398" s="5"/>
    </row>
    <row r="399" customFormat="false" ht="15.75" hidden="false" customHeight="true" outlineLevel="0" collapsed="false">
      <c r="B399" s="5"/>
    </row>
    <row r="400" customFormat="false" ht="15.75" hidden="false" customHeight="true" outlineLevel="0" collapsed="false">
      <c r="B400" s="5"/>
    </row>
    <row r="401" customFormat="false" ht="15.75" hidden="false" customHeight="true" outlineLevel="0" collapsed="false">
      <c r="B401" s="5"/>
    </row>
    <row r="402" customFormat="false" ht="15.75" hidden="false" customHeight="true" outlineLevel="0" collapsed="false">
      <c r="B402" s="5"/>
    </row>
    <row r="403" customFormat="false" ht="15.75" hidden="false" customHeight="true" outlineLevel="0" collapsed="false">
      <c r="B403" s="5"/>
    </row>
    <row r="404" customFormat="false" ht="15.75" hidden="false" customHeight="true" outlineLevel="0" collapsed="false">
      <c r="B404" s="5"/>
    </row>
    <row r="405" customFormat="false" ht="15.75" hidden="false" customHeight="true" outlineLevel="0" collapsed="false">
      <c r="B405" s="5"/>
    </row>
    <row r="406" customFormat="false" ht="15.75" hidden="false" customHeight="true" outlineLevel="0" collapsed="false">
      <c r="B406" s="5"/>
    </row>
    <row r="407" customFormat="false" ht="15.75" hidden="false" customHeight="true" outlineLevel="0" collapsed="false">
      <c r="B407" s="5"/>
    </row>
    <row r="408" customFormat="false" ht="15.75" hidden="false" customHeight="true" outlineLevel="0" collapsed="false">
      <c r="B408" s="5"/>
    </row>
    <row r="409" customFormat="false" ht="15.75" hidden="false" customHeight="true" outlineLevel="0" collapsed="false">
      <c r="B409" s="5"/>
    </row>
    <row r="410" customFormat="false" ht="15.75" hidden="false" customHeight="true" outlineLevel="0" collapsed="false">
      <c r="B410" s="5"/>
    </row>
    <row r="411" customFormat="false" ht="15.75" hidden="false" customHeight="true" outlineLevel="0" collapsed="false">
      <c r="B411" s="5"/>
    </row>
    <row r="412" customFormat="false" ht="15.75" hidden="false" customHeight="true" outlineLevel="0" collapsed="false">
      <c r="B412" s="5"/>
    </row>
    <row r="413" customFormat="false" ht="15.75" hidden="false" customHeight="true" outlineLevel="0" collapsed="false">
      <c r="B413" s="5"/>
    </row>
    <row r="414" customFormat="false" ht="15.75" hidden="false" customHeight="true" outlineLevel="0" collapsed="false">
      <c r="B414" s="5"/>
    </row>
    <row r="415" customFormat="false" ht="15.75" hidden="false" customHeight="true" outlineLevel="0" collapsed="false">
      <c r="B415" s="5"/>
    </row>
    <row r="416" customFormat="false" ht="15.75" hidden="false" customHeight="true" outlineLevel="0" collapsed="false">
      <c r="B416" s="5"/>
    </row>
    <row r="417" customFormat="false" ht="15.75" hidden="false" customHeight="true" outlineLevel="0" collapsed="false">
      <c r="B417" s="5"/>
    </row>
    <row r="418" customFormat="false" ht="15.75" hidden="false" customHeight="true" outlineLevel="0" collapsed="false">
      <c r="B418" s="5"/>
    </row>
    <row r="419" customFormat="false" ht="15.75" hidden="false" customHeight="true" outlineLevel="0" collapsed="false">
      <c r="B419" s="5"/>
    </row>
    <row r="420" customFormat="false" ht="15.75" hidden="false" customHeight="true" outlineLevel="0" collapsed="false">
      <c r="B420" s="5"/>
    </row>
    <row r="421" customFormat="false" ht="15.75" hidden="false" customHeight="true" outlineLevel="0" collapsed="false">
      <c r="B421" s="5"/>
    </row>
    <row r="422" customFormat="false" ht="15.75" hidden="false" customHeight="true" outlineLevel="0" collapsed="false">
      <c r="B422" s="5"/>
    </row>
    <row r="423" customFormat="false" ht="15.75" hidden="false" customHeight="true" outlineLevel="0" collapsed="false">
      <c r="B423" s="5"/>
    </row>
    <row r="424" customFormat="false" ht="15.75" hidden="false" customHeight="true" outlineLevel="0" collapsed="false">
      <c r="B424" s="5"/>
    </row>
    <row r="425" customFormat="false" ht="15.75" hidden="false" customHeight="true" outlineLevel="0" collapsed="false">
      <c r="B425" s="5"/>
    </row>
    <row r="426" customFormat="false" ht="15.75" hidden="false" customHeight="true" outlineLevel="0" collapsed="false">
      <c r="B426" s="5"/>
    </row>
    <row r="427" customFormat="false" ht="15.75" hidden="false" customHeight="true" outlineLevel="0" collapsed="false">
      <c r="B427" s="5"/>
    </row>
    <row r="428" customFormat="false" ht="15.75" hidden="false" customHeight="true" outlineLevel="0" collapsed="false">
      <c r="B428" s="5"/>
    </row>
    <row r="429" customFormat="false" ht="15.75" hidden="false" customHeight="true" outlineLevel="0" collapsed="false">
      <c r="B429" s="5"/>
    </row>
    <row r="430" customFormat="false" ht="15.75" hidden="false" customHeight="true" outlineLevel="0" collapsed="false">
      <c r="B430" s="5"/>
    </row>
    <row r="431" customFormat="false" ht="15.75" hidden="false" customHeight="true" outlineLevel="0" collapsed="false">
      <c r="B431" s="5"/>
    </row>
    <row r="432" customFormat="false" ht="15.75" hidden="false" customHeight="true" outlineLevel="0" collapsed="false">
      <c r="B432" s="5"/>
    </row>
    <row r="433" customFormat="false" ht="15.75" hidden="false" customHeight="true" outlineLevel="0" collapsed="false">
      <c r="B433" s="5"/>
    </row>
    <row r="434" customFormat="false" ht="15.75" hidden="false" customHeight="true" outlineLevel="0" collapsed="false">
      <c r="B434" s="5"/>
    </row>
    <row r="435" customFormat="false" ht="15.75" hidden="false" customHeight="true" outlineLevel="0" collapsed="false">
      <c r="B435" s="5"/>
    </row>
    <row r="436" customFormat="false" ht="15.75" hidden="false" customHeight="true" outlineLevel="0" collapsed="false">
      <c r="B436" s="5"/>
    </row>
    <row r="437" customFormat="false" ht="15.75" hidden="false" customHeight="true" outlineLevel="0" collapsed="false">
      <c r="B437" s="5"/>
    </row>
    <row r="438" customFormat="false" ht="15.75" hidden="false" customHeight="true" outlineLevel="0" collapsed="false">
      <c r="B438" s="5"/>
    </row>
    <row r="439" customFormat="false" ht="15.75" hidden="false" customHeight="true" outlineLevel="0" collapsed="false">
      <c r="B439" s="5"/>
    </row>
    <row r="440" customFormat="false" ht="15.75" hidden="false" customHeight="true" outlineLevel="0" collapsed="false">
      <c r="B440" s="5"/>
    </row>
    <row r="441" customFormat="false" ht="15.75" hidden="false" customHeight="true" outlineLevel="0" collapsed="false">
      <c r="B441" s="5"/>
    </row>
    <row r="442" customFormat="false" ht="15.75" hidden="false" customHeight="true" outlineLevel="0" collapsed="false">
      <c r="B442" s="5"/>
    </row>
    <row r="443" customFormat="false" ht="15.75" hidden="false" customHeight="true" outlineLevel="0" collapsed="false">
      <c r="B443" s="5"/>
    </row>
    <row r="444" customFormat="false" ht="15.75" hidden="false" customHeight="true" outlineLevel="0" collapsed="false">
      <c r="B444" s="5"/>
    </row>
    <row r="445" customFormat="false" ht="15.75" hidden="false" customHeight="true" outlineLevel="0" collapsed="false">
      <c r="B445" s="5"/>
    </row>
    <row r="446" customFormat="false" ht="15.75" hidden="false" customHeight="true" outlineLevel="0" collapsed="false">
      <c r="B446" s="5"/>
    </row>
    <row r="447" customFormat="false" ht="15.75" hidden="false" customHeight="true" outlineLevel="0" collapsed="false">
      <c r="B447" s="5"/>
    </row>
    <row r="448" customFormat="false" ht="15.75" hidden="false" customHeight="true" outlineLevel="0" collapsed="false">
      <c r="B448" s="5"/>
    </row>
    <row r="449" customFormat="false" ht="15.75" hidden="false" customHeight="true" outlineLevel="0" collapsed="false">
      <c r="B449" s="5"/>
    </row>
    <row r="450" customFormat="false" ht="15.75" hidden="false" customHeight="true" outlineLevel="0" collapsed="false">
      <c r="B450" s="5"/>
    </row>
    <row r="451" customFormat="false" ht="15.75" hidden="false" customHeight="true" outlineLevel="0" collapsed="false">
      <c r="B451" s="5"/>
    </row>
    <row r="452" customFormat="false" ht="15.75" hidden="false" customHeight="true" outlineLevel="0" collapsed="false">
      <c r="B452" s="5"/>
    </row>
    <row r="453" customFormat="false" ht="15.75" hidden="false" customHeight="true" outlineLevel="0" collapsed="false">
      <c r="B453" s="5"/>
    </row>
    <row r="454" customFormat="false" ht="15.75" hidden="false" customHeight="true" outlineLevel="0" collapsed="false">
      <c r="B454" s="5"/>
    </row>
    <row r="455" customFormat="false" ht="15.75" hidden="false" customHeight="true" outlineLevel="0" collapsed="false">
      <c r="B455" s="5"/>
    </row>
    <row r="456" customFormat="false" ht="15.75" hidden="false" customHeight="true" outlineLevel="0" collapsed="false">
      <c r="B456" s="5"/>
    </row>
    <row r="457" customFormat="false" ht="15.75" hidden="false" customHeight="true" outlineLevel="0" collapsed="false">
      <c r="B457" s="5"/>
    </row>
    <row r="458" customFormat="false" ht="15.75" hidden="false" customHeight="true" outlineLevel="0" collapsed="false">
      <c r="B458" s="5"/>
    </row>
    <row r="459" customFormat="false" ht="15.75" hidden="false" customHeight="true" outlineLevel="0" collapsed="false">
      <c r="B459" s="5"/>
    </row>
    <row r="460" customFormat="false" ht="15.75" hidden="false" customHeight="true" outlineLevel="0" collapsed="false">
      <c r="B460" s="5"/>
    </row>
    <row r="461" customFormat="false" ht="15.75" hidden="false" customHeight="true" outlineLevel="0" collapsed="false">
      <c r="B461" s="5"/>
    </row>
    <row r="462" customFormat="false" ht="15.75" hidden="false" customHeight="true" outlineLevel="0" collapsed="false">
      <c r="B462" s="5"/>
    </row>
    <row r="463" customFormat="false" ht="15.75" hidden="false" customHeight="true" outlineLevel="0" collapsed="false">
      <c r="B463" s="5"/>
    </row>
    <row r="464" customFormat="false" ht="15.75" hidden="false" customHeight="true" outlineLevel="0" collapsed="false">
      <c r="B464" s="5"/>
    </row>
    <row r="465" customFormat="false" ht="15.75" hidden="false" customHeight="true" outlineLevel="0" collapsed="false">
      <c r="B465" s="5"/>
    </row>
    <row r="466" customFormat="false" ht="15.75" hidden="false" customHeight="true" outlineLevel="0" collapsed="false">
      <c r="B466" s="5"/>
    </row>
    <row r="467" customFormat="false" ht="15.75" hidden="false" customHeight="true" outlineLevel="0" collapsed="false">
      <c r="B467" s="5"/>
    </row>
    <row r="468" customFormat="false" ht="15.75" hidden="false" customHeight="true" outlineLevel="0" collapsed="false">
      <c r="B468" s="5"/>
    </row>
    <row r="469" customFormat="false" ht="15.75" hidden="false" customHeight="true" outlineLevel="0" collapsed="false">
      <c r="B469" s="5"/>
    </row>
    <row r="470" customFormat="false" ht="15.75" hidden="false" customHeight="true" outlineLevel="0" collapsed="false">
      <c r="B470" s="5"/>
    </row>
    <row r="471" customFormat="false" ht="15.75" hidden="false" customHeight="true" outlineLevel="0" collapsed="false">
      <c r="B471" s="5"/>
    </row>
    <row r="472" customFormat="false" ht="15.75" hidden="false" customHeight="true" outlineLevel="0" collapsed="false">
      <c r="B472" s="5"/>
    </row>
    <row r="473" customFormat="false" ht="15.75" hidden="false" customHeight="true" outlineLevel="0" collapsed="false">
      <c r="B473" s="5"/>
    </row>
    <row r="474" customFormat="false" ht="15.75" hidden="false" customHeight="true" outlineLevel="0" collapsed="false">
      <c r="B474" s="5"/>
    </row>
    <row r="475" customFormat="false" ht="15.75" hidden="false" customHeight="true" outlineLevel="0" collapsed="false">
      <c r="B475" s="5"/>
    </row>
    <row r="476" customFormat="false" ht="15.75" hidden="false" customHeight="true" outlineLevel="0" collapsed="false">
      <c r="B476" s="5"/>
    </row>
    <row r="477" customFormat="false" ht="15.75" hidden="false" customHeight="true" outlineLevel="0" collapsed="false">
      <c r="B477" s="5"/>
    </row>
    <row r="478" customFormat="false" ht="15.75" hidden="false" customHeight="true" outlineLevel="0" collapsed="false">
      <c r="B478" s="5"/>
    </row>
    <row r="479" customFormat="false" ht="15.75" hidden="false" customHeight="true" outlineLevel="0" collapsed="false">
      <c r="B479" s="5"/>
    </row>
    <row r="480" customFormat="false" ht="15.75" hidden="false" customHeight="true" outlineLevel="0" collapsed="false">
      <c r="B480" s="5"/>
    </row>
    <row r="481" customFormat="false" ht="15.75" hidden="false" customHeight="true" outlineLevel="0" collapsed="false">
      <c r="B481" s="5"/>
    </row>
    <row r="482" customFormat="false" ht="15.75" hidden="false" customHeight="true" outlineLevel="0" collapsed="false">
      <c r="B482" s="5"/>
    </row>
    <row r="483" customFormat="false" ht="15.75" hidden="false" customHeight="true" outlineLevel="0" collapsed="false">
      <c r="B483" s="5"/>
    </row>
    <row r="484" customFormat="false" ht="15.75" hidden="false" customHeight="true" outlineLevel="0" collapsed="false">
      <c r="B484" s="5"/>
    </row>
    <row r="485" customFormat="false" ht="15.75" hidden="false" customHeight="true" outlineLevel="0" collapsed="false">
      <c r="B485" s="5"/>
    </row>
    <row r="486" customFormat="false" ht="15.75" hidden="false" customHeight="true" outlineLevel="0" collapsed="false">
      <c r="B486" s="5"/>
    </row>
    <row r="487" customFormat="false" ht="15.75" hidden="false" customHeight="true" outlineLevel="0" collapsed="false">
      <c r="B487" s="5"/>
    </row>
    <row r="488" customFormat="false" ht="15.75" hidden="false" customHeight="true" outlineLevel="0" collapsed="false">
      <c r="B488" s="5"/>
    </row>
    <row r="489" customFormat="false" ht="15.75" hidden="false" customHeight="true" outlineLevel="0" collapsed="false">
      <c r="B489" s="5"/>
    </row>
    <row r="490" customFormat="false" ht="15.75" hidden="false" customHeight="true" outlineLevel="0" collapsed="false">
      <c r="B490" s="5"/>
    </row>
    <row r="491" customFormat="false" ht="15.75" hidden="false" customHeight="true" outlineLevel="0" collapsed="false">
      <c r="B491" s="5"/>
    </row>
    <row r="492" customFormat="false" ht="15.75" hidden="false" customHeight="true" outlineLevel="0" collapsed="false">
      <c r="B492" s="5"/>
    </row>
    <row r="493" customFormat="false" ht="15.75" hidden="false" customHeight="true" outlineLevel="0" collapsed="false">
      <c r="B493" s="5"/>
    </row>
    <row r="494" customFormat="false" ht="15.75" hidden="false" customHeight="true" outlineLevel="0" collapsed="false">
      <c r="B494" s="5"/>
    </row>
    <row r="495" customFormat="false" ht="15.75" hidden="false" customHeight="true" outlineLevel="0" collapsed="false">
      <c r="B495" s="5"/>
    </row>
    <row r="496" customFormat="false" ht="15.75" hidden="false" customHeight="true" outlineLevel="0" collapsed="false">
      <c r="B496" s="5"/>
    </row>
    <row r="497" customFormat="false" ht="15.75" hidden="false" customHeight="true" outlineLevel="0" collapsed="false">
      <c r="B497" s="5"/>
    </row>
    <row r="498" customFormat="false" ht="15.75" hidden="false" customHeight="true" outlineLevel="0" collapsed="false">
      <c r="B498" s="5"/>
    </row>
    <row r="499" customFormat="false" ht="15.75" hidden="false" customHeight="true" outlineLevel="0" collapsed="false">
      <c r="B499" s="5"/>
    </row>
    <row r="500" customFormat="false" ht="15.75" hidden="false" customHeight="true" outlineLevel="0" collapsed="false">
      <c r="B500" s="5"/>
    </row>
    <row r="501" customFormat="false" ht="15.75" hidden="false" customHeight="true" outlineLevel="0" collapsed="false">
      <c r="B501" s="5"/>
    </row>
    <row r="502" customFormat="false" ht="15.75" hidden="false" customHeight="true" outlineLevel="0" collapsed="false">
      <c r="B502" s="5"/>
    </row>
    <row r="503" customFormat="false" ht="15.75" hidden="false" customHeight="true" outlineLevel="0" collapsed="false">
      <c r="B503" s="5"/>
    </row>
    <row r="504" customFormat="false" ht="15.75" hidden="false" customHeight="true" outlineLevel="0" collapsed="false">
      <c r="B504" s="5"/>
    </row>
    <row r="505" customFormat="false" ht="15.75" hidden="false" customHeight="true" outlineLevel="0" collapsed="false">
      <c r="B505" s="5"/>
    </row>
    <row r="506" customFormat="false" ht="15.75" hidden="false" customHeight="true" outlineLevel="0" collapsed="false">
      <c r="B506" s="5"/>
    </row>
    <row r="507" customFormat="false" ht="15.75" hidden="false" customHeight="true" outlineLevel="0" collapsed="false">
      <c r="B507" s="5"/>
    </row>
    <row r="508" customFormat="false" ht="15.75" hidden="false" customHeight="true" outlineLevel="0" collapsed="false">
      <c r="B508" s="5"/>
    </row>
    <row r="509" customFormat="false" ht="15.75" hidden="false" customHeight="true" outlineLevel="0" collapsed="false">
      <c r="B509" s="5"/>
    </row>
    <row r="510" customFormat="false" ht="15.75" hidden="false" customHeight="true" outlineLevel="0" collapsed="false">
      <c r="B510" s="5"/>
    </row>
    <row r="511" customFormat="false" ht="15.75" hidden="false" customHeight="true" outlineLevel="0" collapsed="false">
      <c r="B511" s="5"/>
    </row>
    <row r="512" customFormat="false" ht="15.75" hidden="false" customHeight="true" outlineLevel="0" collapsed="false">
      <c r="B512" s="5"/>
    </row>
    <row r="513" customFormat="false" ht="15.75" hidden="false" customHeight="true" outlineLevel="0" collapsed="false">
      <c r="B513" s="5"/>
    </row>
    <row r="514" customFormat="false" ht="15.75" hidden="false" customHeight="true" outlineLevel="0" collapsed="false">
      <c r="B514" s="5"/>
    </row>
    <row r="515" customFormat="false" ht="15.75" hidden="false" customHeight="true" outlineLevel="0" collapsed="false">
      <c r="B515" s="5"/>
    </row>
    <row r="516" customFormat="false" ht="15.75" hidden="false" customHeight="true" outlineLevel="0" collapsed="false">
      <c r="B516" s="5"/>
    </row>
    <row r="517" customFormat="false" ht="15.75" hidden="false" customHeight="true" outlineLevel="0" collapsed="false">
      <c r="B517" s="5"/>
    </row>
    <row r="518" customFormat="false" ht="15.75" hidden="false" customHeight="true" outlineLevel="0" collapsed="false">
      <c r="B518" s="5"/>
    </row>
    <row r="519" customFormat="false" ht="15.75" hidden="false" customHeight="true" outlineLevel="0" collapsed="false">
      <c r="B519" s="5"/>
    </row>
    <row r="520" customFormat="false" ht="15.75" hidden="false" customHeight="true" outlineLevel="0" collapsed="false">
      <c r="B520" s="5"/>
    </row>
    <row r="521" customFormat="false" ht="15.75" hidden="false" customHeight="true" outlineLevel="0" collapsed="false">
      <c r="B521" s="5"/>
    </row>
    <row r="522" customFormat="false" ht="15.75" hidden="false" customHeight="true" outlineLevel="0" collapsed="false">
      <c r="B522" s="5"/>
    </row>
    <row r="523" customFormat="false" ht="15.75" hidden="false" customHeight="true" outlineLevel="0" collapsed="false">
      <c r="B523" s="5"/>
    </row>
    <row r="524" customFormat="false" ht="15.75" hidden="false" customHeight="true" outlineLevel="0" collapsed="false">
      <c r="B524" s="5"/>
    </row>
    <row r="525" customFormat="false" ht="15.75" hidden="false" customHeight="true" outlineLevel="0" collapsed="false">
      <c r="B525" s="5"/>
    </row>
    <row r="526" customFormat="false" ht="15.75" hidden="false" customHeight="true" outlineLevel="0" collapsed="false">
      <c r="B526" s="5"/>
    </row>
    <row r="527" customFormat="false" ht="15.75" hidden="false" customHeight="true" outlineLevel="0" collapsed="false">
      <c r="B527" s="5"/>
    </row>
    <row r="528" customFormat="false" ht="15.75" hidden="false" customHeight="true" outlineLevel="0" collapsed="false">
      <c r="B528" s="5"/>
    </row>
    <row r="529" customFormat="false" ht="15.75" hidden="false" customHeight="true" outlineLevel="0" collapsed="false">
      <c r="B529" s="5"/>
    </row>
    <row r="530" customFormat="false" ht="15.75" hidden="false" customHeight="true" outlineLevel="0" collapsed="false">
      <c r="B530" s="5"/>
    </row>
    <row r="531" customFormat="false" ht="15.75" hidden="false" customHeight="true" outlineLevel="0" collapsed="false">
      <c r="B531" s="5"/>
    </row>
    <row r="532" customFormat="false" ht="15.75" hidden="false" customHeight="true" outlineLevel="0" collapsed="false">
      <c r="B532" s="5"/>
    </row>
    <row r="533" customFormat="false" ht="15.75" hidden="false" customHeight="true" outlineLevel="0" collapsed="false">
      <c r="B533" s="5"/>
    </row>
    <row r="534" customFormat="false" ht="15.75" hidden="false" customHeight="true" outlineLevel="0" collapsed="false">
      <c r="B534" s="5"/>
    </row>
    <row r="535" customFormat="false" ht="15.75" hidden="false" customHeight="true" outlineLevel="0" collapsed="false">
      <c r="B535" s="5"/>
    </row>
    <row r="536" customFormat="false" ht="15.75" hidden="false" customHeight="true" outlineLevel="0" collapsed="false">
      <c r="B536" s="5"/>
    </row>
    <row r="537" customFormat="false" ht="15.75" hidden="false" customHeight="true" outlineLevel="0" collapsed="false">
      <c r="B537" s="5"/>
    </row>
    <row r="538" customFormat="false" ht="15.75" hidden="false" customHeight="true" outlineLevel="0" collapsed="false">
      <c r="B538" s="5"/>
    </row>
    <row r="539" customFormat="false" ht="15.75" hidden="false" customHeight="true" outlineLevel="0" collapsed="false">
      <c r="B539" s="5"/>
    </row>
    <row r="540" customFormat="false" ht="15.75" hidden="false" customHeight="true" outlineLevel="0" collapsed="false">
      <c r="B540" s="5"/>
    </row>
    <row r="541" customFormat="false" ht="15.75" hidden="false" customHeight="true" outlineLevel="0" collapsed="false">
      <c r="B541" s="5"/>
    </row>
    <row r="542" customFormat="false" ht="15.75" hidden="false" customHeight="true" outlineLevel="0" collapsed="false">
      <c r="B542" s="5"/>
    </row>
    <row r="543" customFormat="false" ht="15.75" hidden="false" customHeight="true" outlineLevel="0" collapsed="false">
      <c r="B543" s="5"/>
    </row>
    <row r="544" customFormat="false" ht="15.75" hidden="false" customHeight="true" outlineLevel="0" collapsed="false">
      <c r="B544" s="5"/>
    </row>
    <row r="545" customFormat="false" ht="15.75" hidden="false" customHeight="true" outlineLevel="0" collapsed="false">
      <c r="B545" s="5"/>
    </row>
    <row r="546" customFormat="false" ht="15.75" hidden="false" customHeight="true" outlineLevel="0" collapsed="false">
      <c r="B546" s="5"/>
    </row>
    <row r="547" customFormat="false" ht="15.75" hidden="false" customHeight="true" outlineLevel="0" collapsed="false">
      <c r="B547" s="5"/>
    </row>
    <row r="548" customFormat="false" ht="15.75" hidden="false" customHeight="true" outlineLevel="0" collapsed="false">
      <c r="B548" s="5"/>
    </row>
    <row r="549" customFormat="false" ht="15.75" hidden="false" customHeight="true" outlineLevel="0" collapsed="false">
      <c r="B549" s="5"/>
    </row>
    <row r="550" customFormat="false" ht="15.75" hidden="false" customHeight="true" outlineLevel="0" collapsed="false">
      <c r="B550" s="5"/>
    </row>
    <row r="551" customFormat="false" ht="15.75" hidden="false" customHeight="true" outlineLevel="0" collapsed="false">
      <c r="B551" s="5"/>
    </row>
    <row r="552" customFormat="false" ht="15.75" hidden="false" customHeight="true" outlineLevel="0" collapsed="false">
      <c r="B552" s="5"/>
    </row>
    <row r="553" customFormat="false" ht="15.75" hidden="false" customHeight="true" outlineLevel="0" collapsed="false">
      <c r="B553" s="5"/>
    </row>
    <row r="554" customFormat="false" ht="15.75" hidden="false" customHeight="true" outlineLevel="0" collapsed="false">
      <c r="B554" s="5"/>
    </row>
    <row r="555" customFormat="false" ht="15.75" hidden="false" customHeight="true" outlineLevel="0" collapsed="false">
      <c r="B555" s="5"/>
    </row>
    <row r="556" customFormat="false" ht="15.75" hidden="false" customHeight="true" outlineLevel="0" collapsed="false">
      <c r="B556" s="5"/>
    </row>
    <row r="557" customFormat="false" ht="15.75" hidden="false" customHeight="true" outlineLevel="0" collapsed="false">
      <c r="B557" s="5"/>
    </row>
    <row r="558" customFormat="false" ht="15.75" hidden="false" customHeight="true" outlineLevel="0" collapsed="false">
      <c r="B558" s="5"/>
    </row>
    <row r="559" customFormat="false" ht="15.75" hidden="false" customHeight="true" outlineLevel="0" collapsed="false">
      <c r="B559" s="5"/>
    </row>
    <row r="560" customFormat="false" ht="15.75" hidden="false" customHeight="true" outlineLevel="0" collapsed="false">
      <c r="B560" s="5"/>
    </row>
    <row r="561" customFormat="false" ht="15.75" hidden="false" customHeight="true" outlineLevel="0" collapsed="false">
      <c r="B561" s="5"/>
    </row>
    <row r="562" customFormat="false" ht="15.75" hidden="false" customHeight="true" outlineLevel="0" collapsed="false">
      <c r="B562" s="5"/>
    </row>
    <row r="563" customFormat="false" ht="15.75" hidden="false" customHeight="true" outlineLevel="0" collapsed="false">
      <c r="B563" s="5"/>
    </row>
    <row r="564" customFormat="false" ht="15.75" hidden="false" customHeight="true" outlineLevel="0" collapsed="false">
      <c r="B564" s="5"/>
    </row>
    <row r="565" customFormat="false" ht="15.75" hidden="false" customHeight="true" outlineLevel="0" collapsed="false">
      <c r="B565" s="5"/>
    </row>
    <row r="566" customFormat="false" ht="15.75" hidden="false" customHeight="true" outlineLevel="0" collapsed="false">
      <c r="B566" s="5"/>
    </row>
    <row r="567" customFormat="false" ht="15.75" hidden="false" customHeight="true" outlineLevel="0" collapsed="false">
      <c r="B567" s="5"/>
    </row>
    <row r="568" customFormat="false" ht="15.75" hidden="false" customHeight="true" outlineLevel="0" collapsed="false">
      <c r="B568" s="5"/>
    </row>
    <row r="569" customFormat="false" ht="15.75" hidden="false" customHeight="true" outlineLevel="0" collapsed="false">
      <c r="B569" s="5"/>
    </row>
    <row r="570" customFormat="false" ht="15.75" hidden="false" customHeight="true" outlineLevel="0" collapsed="false">
      <c r="B570" s="5"/>
    </row>
    <row r="571" customFormat="false" ht="15.75" hidden="false" customHeight="true" outlineLevel="0" collapsed="false">
      <c r="B571" s="5"/>
    </row>
    <row r="572" customFormat="false" ht="15.75" hidden="false" customHeight="true" outlineLevel="0" collapsed="false">
      <c r="B572" s="5"/>
    </row>
    <row r="573" customFormat="false" ht="15.75" hidden="false" customHeight="true" outlineLevel="0" collapsed="false">
      <c r="B573" s="5"/>
    </row>
    <row r="574" customFormat="false" ht="15.75" hidden="false" customHeight="true" outlineLevel="0" collapsed="false">
      <c r="B574" s="5"/>
    </row>
    <row r="575" customFormat="false" ht="15.75" hidden="false" customHeight="true" outlineLevel="0" collapsed="false">
      <c r="B575" s="5"/>
    </row>
    <row r="576" customFormat="false" ht="15.75" hidden="false" customHeight="true" outlineLevel="0" collapsed="false">
      <c r="B576" s="5"/>
    </row>
    <row r="577" customFormat="false" ht="15.75" hidden="false" customHeight="true" outlineLevel="0" collapsed="false">
      <c r="B577" s="5"/>
    </row>
    <row r="578" customFormat="false" ht="15.75" hidden="false" customHeight="true" outlineLevel="0" collapsed="false">
      <c r="B578" s="5"/>
    </row>
    <row r="579" customFormat="false" ht="15.75" hidden="false" customHeight="true" outlineLevel="0" collapsed="false">
      <c r="B579" s="5"/>
    </row>
    <row r="580" customFormat="false" ht="15.75" hidden="false" customHeight="true" outlineLevel="0" collapsed="false">
      <c r="B580" s="5"/>
    </row>
    <row r="581" customFormat="false" ht="15.75" hidden="false" customHeight="true" outlineLevel="0" collapsed="false">
      <c r="B581" s="5"/>
    </row>
    <row r="582" customFormat="false" ht="15.75" hidden="false" customHeight="true" outlineLevel="0" collapsed="false">
      <c r="B582" s="5"/>
    </row>
    <row r="583" customFormat="false" ht="15.75" hidden="false" customHeight="true" outlineLevel="0" collapsed="false">
      <c r="B583" s="5"/>
    </row>
    <row r="584" customFormat="false" ht="15.75" hidden="false" customHeight="true" outlineLevel="0" collapsed="false">
      <c r="B584" s="5"/>
    </row>
    <row r="585" customFormat="false" ht="15.75" hidden="false" customHeight="true" outlineLevel="0" collapsed="false">
      <c r="B585" s="5"/>
    </row>
    <row r="586" customFormat="false" ht="15.75" hidden="false" customHeight="true" outlineLevel="0" collapsed="false">
      <c r="B586" s="5"/>
    </row>
    <row r="587" customFormat="false" ht="15.75" hidden="false" customHeight="true" outlineLevel="0" collapsed="false">
      <c r="B587" s="5"/>
    </row>
    <row r="588" customFormat="false" ht="15.75" hidden="false" customHeight="true" outlineLevel="0" collapsed="false">
      <c r="B588" s="5"/>
    </row>
    <row r="589" customFormat="false" ht="15.75" hidden="false" customHeight="true" outlineLevel="0" collapsed="false">
      <c r="B589" s="5"/>
    </row>
    <row r="590" customFormat="false" ht="15.75" hidden="false" customHeight="true" outlineLevel="0" collapsed="false">
      <c r="B590" s="5"/>
    </row>
    <row r="591" customFormat="false" ht="15.75" hidden="false" customHeight="true" outlineLevel="0" collapsed="false">
      <c r="B591" s="5"/>
    </row>
    <row r="592" customFormat="false" ht="15.75" hidden="false" customHeight="true" outlineLevel="0" collapsed="false">
      <c r="B592" s="5"/>
    </row>
    <row r="593" customFormat="false" ht="15.75" hidden="false" customHeight="true" outlineLevel="0" collapsed="false">
      <c r="B593" s="5"/>
    </row>
    <row r="594" customFormat="false" ht="15.75" hidden="false" customHeight="true" outlineLevel="0" collapsed="false">
      <c r="B594" s="5"/>
    </row>
    <row r="595" customFormat="false" ht="15.75" hidden="false" customHeight="true" outlineLevel="0" collapsed="false">
      <c r="B595" s="5"/>
    </row>
    <row r="596" customFormat="false" ht="15.75" hidden="false" customHeight="true" outlineLevel="0" collapsed="false">
      <c r="B596" s="5"/>
    </row>
    <row r="597" customFormat="false" ht="15.75" hidden="false" customHeight="true" outlineLevel="0" collapsed="false">
      <c r="B597" s="5"/>
    </row>
    <row r="598" customFormat="false" ht="15.75" hidden="false" customHeight="true" outlineLevel="0" collapsed="false">
      <c r="B598" s="5"/>
    </row>
    <row r="599" customFormat="false" ht="15.75" hidden="false" customHeight="true" outlineLevel="0" collapsed="false">
      <c r="B599" s="5"/>
    </row>
    <row r="600" customFormat="false" ht="15.75" hidden="false" customHeight="true" outlineLevel="0" collapsed="false">
      <c r="B600" s="5"/>
    </row>
    <row r="601" customFormat="false" ht="15.75" hidden="false" customHeight="true" outlineLevel="0" collapsed="false">
      <c r="B601" s="5"/>
    </row>
    <row r="602" customFormat="false" ht="15.75" hidden="false" customHeight="true" outlineLevel="0" collapsed="false">
      <c r="B602" s="5"/>
    </row>
    <row r="603" customFormat="false" ht="15.75" hidden="false" customHeight="true" outlineLevel="0" collapsed="false">
      <c r="B603" s="5"/>
    </row>
    <row r="604" customFormat="false" ht="15.75" hidden="false" customHeight="true" outlineLevel="0" collapsed="false">
      <c r="B604" s="5"/>
    </row>
    <row r="605" customFormat="false" ht="15.75" hidden="false" customHeight="true" outlineLevel="0" collapsed="false">
      <c r="B605" s="5"/>
    </row>
    <row r="606" customFormat="false" ht="15.75" hidden="false" customHeight="true" outlineLevel="0" collapsed="false">
      <c r="B606" s="5"/>
    </row>
    <row r="607" customFormat="false" ht="15.75" hidden="false" customHeight="true" outlineLevel="0" collapsed="false">
      <c r="B607" s="5"/>
    </row>
    <row r="608" customFormat="false" ht="15.75" hidden="false" customHeight="true" outlineLevel="0" collapsed="false">
      <c r="B608" s="5"/>
    </row>
    <row r="609" customFormat="false" ht="15.75" hidden="false" customHeight="true" outlineLevel="0" collapsed="false">
      <c r="B609" s="5"/>
    </row>
    <row r="610" customFormat="false" ht="15.75" hidden="false" customHeight="true" outlineLevel="0" collapsed="false">
      <c r="B610" s="5"/>
    </row>
    <row r="611" customFormat="false" ht="15.75" hidden="false" customHeight="true" outlineLevel="0" collapsed="false">
      <c r="B611" s="5"/>
    </row>
    <row r="612" customFormat="false" ht="15.75" hidden="false" customHeight="true" outlineLevel="0" collapsed="false">
      <c r="B612" s="5"/>
    </row>
    <row r="613" customFormat="false" ht="15.75" hidden="false" customHeight="true" outlineLevel="0" collapsed="false">
      <c r="B613" s="5"/>
    </row>
    <row r="614" customFormat="false" ht="15.75" hidden="false" customHeight="true" outlineLevel="0" collapsed="false">
      <c r="B614" s="5"/>
    </row>
    <row r="615" customFormat="false" ht="15.75" hidden="false" customHeight="true" outlineLevel="0" collapsed="false">
      <c r="B615" s="5"/>
    </row>
    <row r="616" customFormat="false" ht="15.75" hidden="false" customHeight="true" outlineLevel="0" collapsed="false">
      <c r="B616" s="5"/>
    </row>
    <row r="617" customFormat="false" ht="15.75" hidden="false" customHeight="true" outlineLevel="0" collapsed="false">
      <c r="B617" s="5"/>
    </row>
    <row r="618" customFormat="false" ht="15.75" hidden="false" customHeight="true" outlineLevel="0" collapsed="false">
      <c r="B618" s="5"/>
    </row>
    <row r="619" customFormat="false" ht="15.75" hidden="false" customHeight="true" outlineLevel="0" collapsed="false">
      <c r="B619" s="5"/>
    </row>
    <row r="620" customFormat="false" ht="15.75" hidden="false" customHeight="true" outlineLevel="0" collapsed="false">
      <c r="B620" s="5"/>
    </row>
    <row r="621" customFormat="false" ht="15.75" hidden="false" customHeight="true" outlineLevel="0" collapsed="false">
      <c r="B621" s="5"/>
    </row>
    <row r="622" customFormat="false" ht="15.75" hidden="false" customHeight="true" outlineLevel="0" collapsed="false">
      <c r="B622" s="5"/>
    </row>
    <row r="623" customFormat="false" ht="15.75" hidden="false" customHeight="true" outlineLevel="0" collapsed="false">
      <c r="B623" s="5"/>
    </row>
    <row r="624" customFormat="false" ht="15.75" hidden="false" customHeight="true" outlineLevel="0" collapsed="false">
      <c r="B624" s="5"/>
    </row>
    <row r="625" customFormat="false" ht="15.75" hidden="false" customHeight="true" outlineLevel="0" collapsed="false">
      <c r="B625" s="5"/>
    </row>
    <row r="626" customFormat="false" ht="15.75" hidden="false" customHeight="true" outlineLevel="0" collapsed="false">
      <c r="B626" s="5"/>
    </row>
    <row r="627" customFormat="false" ht="15.75" hidden="false" customHeight="true" outlineLevel="0" collapsed="false">
      <c r="B627" s="5"/>
    </row>
    <row r="628" customFormat="false" ht="15.75" hidden="false" customHeight="true" outlineLevel="0" collapsed="false">
      <c r="B628" s="5"/>
    </row>
    <row r="629" customFormat="false" ht="15.75" hidden="false" customHeight="true" outlineLevel="0" collapsed="false">
      <c r="B629" s="5"/>
    </row>
    <row r="630" customFormat="false" ht="15.75" hidden="false" customHeight="true" outlineLevel="0" collapsed="false">
      <c r="B630" s="5"/>
    </row>
    <row r="631" customFormat="false" ht="15.75" hidden="false" customHeight="true" outlineLevel="0" collapsed="false">
      <c r="B631" s="5"/>
    </row>
    <row r="632" customFormat="false" ht="15.75" hidden="false" customHeight="true" outlineLevel="0" collapsed="false">
      <c r="B632" s="5"/>
    </row>
    <row r="633" customFormat="false" ht="15.75" hidden="false" customHeight="true" outlineLevel="0" collapsed="false">
      <c r="B633" s="5"/>
    </row>
    <row r="634" customFormat="false" ht="15.75" hidden="false" customHeight="true" outlineLevel="0" collapsed="false">
      <c r="B634" s="5"/>
    </row>
    <row r="635" customFormat="false" ht="15.75" hidden="false" customHeight="true" outlineLevel="0" collapsed="false">
      <c r="B635" s="5"/>
    </row>
    <row r="636" customFormat="false" ht="15.75" hidden="false" customHeight="true" outlineLevel="0" collapsed="false">
      <c r="B636" s="5"/>
    </row>
    <row r="637" customFormat="false" ht="15.75" hidden="false" customHeight="true" outlineLevel="0" collapsed="false">
      <c r="B637" s="5"/>
    </row>
    <row r="638" customFormat="false" ht="15.75" hidden="false" customHeight="true" outlineLevel="0" collapsed="false">
      <c r="B638" s="5"/>
    </row>
    <row r="639" customFormat="false" ht="15.75" hidden="false" customHeight="true" outlineLevel="0" collapsed="false">
      <c r="B639" s="5"/>
    </row>
    <row r="640" customFormat="false" ht="15.75" hidden="false" customHeight="true" outlineLevel="0" collapsed="false">
      <c r="B640" s="5"/>
    </row>
    <row r="641" customFormat="false" ht="15.75" hidden="false" customHeight="true" outlineLevel="0" collapsed="false">
      <c r="B641" s="5"/>
    </row>
    <row r="642" customFormat="false" ht="15.75" hidden="false" customHeight="true" outlineLevel="0" collapsed="false">
      <c r="B642" s="5"/>
    </row>
    <row r="643" customFormat="false" ht="15.75" hidden="false" customHeight="true" outlineLevel="0" collapsed="false">
      <c r="B643" s="5"/>
    </row>
    <row r="644" customFormat="false" ht="15.75" hidden="false" customHeight="true" outlineLevel="0" collapsed="false">
      <c r="B644" s="5"/>
    </row>
    <row r="645" customFormat="false" ht="15.75" hidden="false" customHeight="true" outlineLevel="0" collapsed="false">
      <c r="B645" s="5"/>
    </row>
    <row r="646" customFormat="false" ht="15.75" hidden="false" customHeight="true" outlineLevel="0" collapsed="false">
      <c r="B646" s="5"/>
    </row>
    <row r="647" customFormat="false" ht="15.75" hidden="false" customHeight="true" outlineLevel="0" collapsed="false">
      <c r="B647" s="5"/>
    </row>
    <row r="648" customFormat="false" ht="15.75" hidden="false" customHeight="true" outlineLevel="0" collapsed="false">
      <c r="B648" s="5"/>
    </row>
    <row r="649" customFormat="false" ht="15.75" hidden="false" customHeight="true" outlineLevel="0" collapsed="false">
      <c r="B649" s="5"/>
    </row>
    <row r="650" customFormat="false" ht="15.75" hidden="false" customHeight="true" outlineLevel="0" collapsed="false">
      <c r="B650" s="5"/>
    </row>
    <row r="651" customFormat="false" ht="15.75" hidden="false" customHeight="true" outlineLevel="0" collapsed="false">
      <c r="B651" s="5"/>
    </row>
    <row r="652" customFormat="false" ht="15.75" hidden="false" customHeight="true" outlineLevel="0" collapsed="false">
      <c r="B652" s="5"/>
    </row>
    <row r="653" customFormat="false" ht="15.75" hidden="false" customHeight="true" outlineLevel="0" collapsed="false">
      <c r="B653" s="5"/>
    </row>
    <row r="654" customFormat="false" ht="15.75" hidden="false" customHeight="true" outlineLevel="0" collapsed="false">
      <c r="B654" s="5"/>
    </row>
    <row r="655" customFormat="false" ht="15.75" hidden="false" customHeight="true" outlineLevel="0" collapsed="false">
      <c r="B655" s="5"/>
    </row>
    <row r="656" customFormat="false" ht="15.75" hidden="false" customHeight="true" outlineLevel="0" collapsed="false">
      <c r="B656" s="5"/>
    </row>
    <row r="657" customFormat="false" ht="15.75" hidden="false" customHeight="true" outlineLevel="0" collapsed="false">
      <c r="B657" s="5"/>
    </row>
    <row r="658" customFormat="false" ht="15.75" hidden="false" customHeight="true" outlineLevel="0" collapsed="false">
      <c r="B658" s="5"/>
    </row>
    <row r="659" customFormat="false" ht="15.75" hidden="false" customHeight="true" outlineLevel="0" collapsed="false">
      <c r="B659" s="5"/>
    </row>
    <row r="660" customFormat="false" ht="15.75" hidden="false" customHeight="true" outlineLevel="0" collapsed="false">
      <c r="B660" s="5"/>
    </row>
    <row r="661" customFormat="false" ht="15.75" hidden="false" customHeight="true" outlineLevel="0" collapsed="false">
      <c r="B661" s="5"/>
    </row>
    <row r="662" customFormat="false" ht="15.75" hidden="false" customHeight="true" outlineLevel="0" collapsed="false">
      <c r="B662" s="5"/>
    </row>
    <row r="663" customFormat="false" ht="15.75" hidden="false" customHeight="true" outlineLevel="0" collapsed="false">
      <c r="B663" s="5"/>
    </row>
    <row r="664" customFormat="false" ht="15.75" hidden="false" customHeight="true" outlineLevel="0" collapsed="false">
      <c r="B664" s="5"/>
    </row>
    <row r="665" customFormat="false" ht="15.75" hidden="false" customHeight="true" outlineLevel="0" collapsed="false">
      <c r="B665" s="5"/>
    </row>
    <row r="666" customFormat="false" ht="15.75" hidden="false" customHeight="true" outlineLevel="0" collapsed="false">
      <c r="B666" s="5"/>
    </row>
    <row r="667" customFormat="false" ht="15.75" hidden="false" customHeight="true" outlineLevel="0" collapsed="false">
      <c r="B667" s="5"/>
    </row>
    <row r="668" customFormat="false" ht="15.75" hidden="false" customHeight="true" outlineLevel="0" collapsed="false">
      <c r="B668" s="5"/>
    </row>
    <row r="669" customFormat="false" ht="15.75" hidden="false" customHeight="true" outlineLevel="0" collapsed="false">
      <c r="B669" s="5"/>
    </row>
    <row r="670" customFormat="false" ht="15.75" hidden="false" customHeight="true" outlineLevel="0" collapsed="false">
      <c r="B670" s="5"/>
    </row>
    <row r="671" customFormat="false" ht="15.75" hidden="false" customHeight="true" outlineLevel="0" collapsed="false">
      <c r="B671" s="5"/>
    </row>
    <row r="672" customFormat="false" ht="15.75" hidden="false" customHeight="true" outlineLevel="0" collapsed="false">
      <c r="B672" s="5"/>
    </row>
    <row r="673" customFormat="false" ht="15.75" hidden="false" customHeight="true" outlineLevel="0" collapsed="false">
      <c r="B673" s="5"/>
    </row>
    <row r="674" customFormat="false" ht="15.75" hidden="false" customHeight="true" outlineLevel="0" collapsed="false">
      <c r="B674" s="5"/>
    </row>
    <row r="675" customFormat="false" ht="15.75" hidden="false" customHeight="true" outlineLevel="0" collapsed="false">
      <c r="B675" s="5"/>
    </row>
    <row r="676" customFormat="false" ht="15.75" hidden="false" customHeight="true" outlineLevel="0" collapsed="false">
      <c r="B676" s="5"/>
    </row>
    <row r="677" customFormat="false" ht="15.75" hidden="false" customHeight="true" outlineLevel="0" collapsed="false">
      <c r="B677" s="5"/>
    </row>
    <row r="678" customFormat="false" ht="15.75" hidden="false" customHeight="true" outlineLevel="0" collapsed="false">
      <c r="B678" s="5"/>
    </row>
    <row r="679" customFormat="false" ht="15.75" hidden="false" customHeight="true" outlineLevel="0" collapsed="false">
      <c r="B679" s="5"/>
    </row>
    <row r="680" customFormat="false" ht="15.75" hidden="false" customHeight="true" outlineLevel="0" collapsed="false">
      <c r="B680" s="5"/>
    </row>
    <row r="681" customFormat="false" ht="15.75" hidden="false" customHeight="true" outlineLevel="0" collapsed="false">
      <c r="B681" s="5"/>
    </row>
    <row r="682" customFormat="false" ht="15.75" hidden="false" customHeight="true" outlineLevel="0" collapsed="false">
      <c r="B682" s="5"/>
    </row>
    <row r="683" customFormat="false" ht="15.75" hidden="false" customHeight="true" outlineLevel="0" collapsed="false">
      <c r="B683" s="5"/>
    </row>
    <row r="684" customFormat="false" ht="15.75" hidden="false" customHeight="true" outlineLevel="0" collapsed="false">
      <c r="B684" s="5"/>
    </row>
    <row r="685" customFormat="false" ht="15.75" hidden="false" customHeight="true" outlineLevel="0" collapsed="false">
      <c r="B685" s="5"/>
    </row>
    <row r="686" customFormat="false" ht="15.75" hidden="false" customHeight="true" outlineLevel="0" collapsed="false">
      <c r="B686" s="5"/>
    </row>
    <row r="687" customFormat="false" ht="15.75" hidden="false" customHeight="true" outlineLevel="0" collapsed="false">
      <c r="B687" s="5"/>
    </row>
    <row r="688" customFormat="false" ht="15.75" hidden="false" customHeight="true" outlineLevel="0" collapsed="false">
      <c r="B688" s="5"/>
    </row>
    <row r="689" customFormat="false" ht="15.75" hidden="false" customHeight="true" outlineLevel="0" collapsed="false">
      <c r="B689" s="5"/>
    </row>
    <row r="690" customFormat="false" ht="15.75" hidden="false" customHeight="true" outlineLevel="0" collapsed="false">
      <c r="B690" s="5"/>
    </row>
    <row r="691" customFormat="false" ht="15.75" hidden="false" customHeight="true" outlineLevel="0" collapsed="false">
      <c r="B691" s="5"/>
    </row>
    <row r="692" customFormat="false" ht="15.75" hidden="false" customHeight="true" outlineLevel="0" collapsed="false">
      <c r="B692" s="5"/>
    </row>
    <row r="693" customFormat="false" ht="15.75" hidden="false" customHeight="true" outlineLevel="0" collapsed="false">
      <c r="B693" s="5"/>
    </row>
    <row r="694" customFormat="false" ht="15.75" hidden="false" customHeight="true" outlineLevel="0" collapsed="false">
      <c r="B694" s="5"/>
    </row>
    <row r="695" customFormat="false" ht="15.75" hidden="false" customHeight="true" outlineLevel="0" collapsed="false">
      <c r="B695" s="5"/>
    </row>
    <row r="696" customFormat="false" ht="15.75" hidden="false" customHeight="true" outlineLevel="0" collapsed="false">
      <c r="B696" s="5"/>
    </row>
    <row r="697" customFormat="false" ht="15.75" hidden="false" customHeight="true" outlineLevel="0" collapsed="false">
      <c r="B697" s="5"/>
    </row>
    <row r="698" customFormat="false" ht="15.75" hidden="false" customHeight="true" outlineLevel="0" collapsed="false">
      <c r="B698" s="5"/>
    </row>
    <row r="699" customFormat="false" ht="15.75" hidden="false" customHeight="true" outlineLevel="0" collapsed="false">
      <c r="B699" s="5"/>
    </row>
    <row r="700" customFormat="false" ht="15.75" hidden="false" customHeight="true" outlineLevel="0" collapsed="false">
      <c r="B700" s="5"/>
    </row>
    <row r="701" customFormat="false" ht="15.75" hidden="false" customHeight="true" outlineLevel="0" collapsed="false">
      <c r="B701" s="5"/>
    </row>
    <row r="702" customFormat="false" ht="15.75" hidden="false" customHeight="true" outlineLevel="0" collapsed="false">
      <c r="B702" s="5"/>
    </row>
    <row r="703" customFormat="false" ht="15.75" hidden="false" customHeight="true" outlineLevel="0" collapsed="false">
      <c r="B703" s="5"/>
    </row>
    <row r="704" customFormat="false" ht="15.75" hidden="false" customHeight="true" outlineLevel="0" collapsed="false">
      <c r="B704" s="5"/>
    </row>
    <row r="705" customFormat="false" ht="15.75" hidden="false" customHeight="true" outlineLevel="0" collapsed="false">
      <c r="B705" s="5"/>
    </row>
    <row r="706" customFormat="false" ht="15.75" hidden="false" customHeight="true" outlineLevel="0" collapsed="false">
      <c r="B706" s="5"/>
    </row>
    <row r="707" customFormat="false" ht="15.75" hidden="false" customHeight="true" outlineLevel="0" collapsed="false">
      <c r="B707" s="5"/>
    </row>
    <row r="708" customFormat="false" ht="15.75" hidden="false" customHeight="true" outlineLevel="0" collapsed="false">
      <c r="B708" s="5"/>
    </row>
    <row r="709" customFormat="false" ht="15.75" hidden="false" customHeight="true" outlineLevel="0" collapsed="false">
      <c r="B709" s="5"/>
    </row>
    <row r="710" customFormat="false" ht="15.75" hidden="false" customHeight="true" outlineLevel="0" collapsed="false">
      <c r="B710" s="5"/>
    </row>
    <row r="711" customFormat="false" ht="15.75" hidden="false" customHeight="true" outlineLevel="0" collapsed="false">
      <c r="B711" s="5"/>
    </row>
    <row r="712" customFormat="false" ht="15.75" hidden="false" customHeight="true" outlineLevel="0" collapsed="false">
      <c r="B712" s="5"/>
    </row>
    <row r="713" customFormat="false" ht="15.75" hidden="false" customHeight="true" outlineLevel="0" collapsed="false">
      <c r="B713" s="5"/>
    </row>
    <row r="714" customFormat="false" ht="15.75" hidden="false" customHeight="true" outlineLevel="0" collapsed="false">
      <c r="B714" s="5"/>
    </row>
    <row r="715" customFormat="false" ht="15.75" hidden="false" customHeight="true" outlineLevel="0" collapsed="false">
      <c r="B715" s="5"/>
    </row>
    <row r="716" customFormat="false" ht="15.75" hidden="false" customHeight="true" outlineLevel="0" collapsed="false">
      <c r="B716" s="5"/>
    </row>
    <row r="717" customFormat="false" ht="15.75" hidden="false" customHeight="true" outlineLevel="0" collapsed="false">
      <c r="B717" s="5"/>
    </row>
    <row r="718" customFormat="false" ht="15.75" hidden="false" customHeight="true" outlineLevel="0" collapsed="false">
      <c r="B718" s="5"/>
    </row>
    <row r="719" customFormat="false" ht="15.75" hidden="false" customHeight="true" outlineLevel="0" collapsed="false">
      <c r="B719" s="5"/>
    </row>
    <row r="720" customFormat="false" ht="15.75" hidden="false" customHeight="true" outlineLevel="0" collapsed="false">
      <c r="B720" s="5"/>
    </row>
    <row r="721" customFormat="false" ht="15.75" hidden="false" customHeight="true" outlineLevel="0" collapsed="false">
      <c r="B721" s="5"/>
    </row>
    <row r="722" customFormat="false" ht="15.75" hidden="false" customHeight="true" outlineLevel="0" collapsed="false">
      <c r="B722" s="5"/>
    </row>
    <row r="723" customFormat="false" ht="15.75" hidden="false" customHeight="true" outlineLevel="0" collapsed="false">
      <c r="B723" s="5"/>
    </row>
    <row r="724" customFormat="false" ht="15.75" hidden="false" customHeight="true" outlineLevel="0" collapsed="false">
      <c r="B724" s="5"/>
    </row>
    <row r="725" customFormat="false" ht="15.75" hidden="false" customHeight="true" outlineLevel="0" collapsed="false">
      <c r="B725" s="5"/>
    </row>
    <row r="726" customFormat="false" ht="15.75" hidden="false" customHeight="true" outlineLevel="0" collapsed="false">
      <c r="B726" s="5"/>
    </row>
    <row r="727" customFormat="false" ht="15.75" hidden="false" customHeight="true" outlineLevel="0" collapsed="false">
      <c r="B727" s="5"/>
    </row>
    <row r="728" customFormat="false" ht="15.75" hidden="false" customHeight="true" outlineLevel="0" collapsed="false">
      <c r="B728" s="5"/>
    </row>
    <row r="729" customFormat="false" ht="15.75" hidden="false" customHeight="true" outlineLevel="0" collapsed="false">
      <c r="B729" s="5"/>
    </row>
    <row r="730" customFormat="false" ht="15.75" hidden="false" customHeight="true" outlineLevel="0" collapsed="false">
      <c r="B730" s="5"/>
    </row>
    <row r="731" customFormat="false" ht="15.75" hidden="false" customHeight="true" outlineLevel="0" collapsed="false">
      <c r="B731" s="5"/>
    </row>
    <row r="732" customFormat="false" ht="15.75" hidden="false" customHeight="true" outlineLevel="0" collapsed="false">
      <c r="B732" s="5"/>
    </row>
    <row r="733" customFormat="false" ht="15.75" hidden="false" customHeight="true" outlineLevel="0" collapsed="false">
      <c r="B733" s="5"/>
    </row>
    <row r="734" customFormat="false" ht="15.75" hidden="false" customHeight="true" outlineLevel="0" collapsed="false">
      <c r="B734" s="5"/>
    </row>
    <row r="735" customFormat="false" ht="15.75" hidden="false" customHeight="true" outlineLevel="0" collapsed="false">
      <c r="B735" s="5"/>
    </row>
    <row r="736" customFormat="false" ht="15.75" hidden="false" customHeight="true" outlineLevel="0" collapsed="false">
      <c r="B736" s="5"/>
    </row>
    <row r="737" customFormat="false" ht="15.75" hidden="false" customHeight="true" outlineLevel="0" collapsed="false">
      <c r="B737" s="5"/>
    </row>
    <row r="738" customFormat="false" ht="15.75" hidden="false" customHeight="true" outlineLevel="0" collapsed="false">
      <c r="B738" s="5"/>
    </row>
    <row r="739" customFormat="false" ht="15.75" hidden="false" customHeight="true" outlineLevel="0" collapsed="false">
      <c r="B739" s="5"/>
    </row>
    <row r="740" customFormat="false" ht="15.75" hidden="false" customHeight="true" outlineLevel="0" collapsed="false">
      <c r="B740" s="5"/>
    </row>
    <row r="741" customFormat="false" ht="15.75" hidden="false" customHeight="true" outlineLevel="0" collapsed="false">
      <c r="B741" s="5"/>
    </row>
    <row r="742" customFormat="false" ht="15.75" hidden="false" customHeight="true" outlineLevel="0" collapsed="false">
      <c r="B742" s="5"/>
    </row>
    <row r="743" customFormat="false" ht="15.75" hidden="false" customHeight="true" outlineLevel="0" collapsed="false">
      <c r="B743" s="5"/>
    </row>
    <row r="744" customFormat="false" ht="15.75" hidden="false" customHeight="true" outlineLevel="0" collapsed="false">
      <c r="B744" s="5"/>
    </row>
    <row r="745" customFormat="false" ht="15.75" hidden="false" customHeight="true" outlineLevel="0" collapsed="false">
      <c r="B745" s="5"/>
    </row>
    <row r="746" customFormat="false" ht="15.75" hidden="false" customHeight="true" outlineLevel="0" collapsed="false">
      <c r="B746" s="5"/>
    </row>
    <row r="747" customFormat="false" ht="15.75" hidden="false" customHeight="true" outlineLevel="0" collapsed="false">
      <c r="B747" s="5"/>
    </row>
    <row r="748" customFormat="false" ht="15.75" hidden="false" customHeight="true" outlineLevel="0" collapsed="false">
      <c r="B748" s="5"/>
    </row>
    <row r="749" customFormat="false" ht="15.75" hidden="false" customHeight="true" outlineLevel="0" collapsed="false">
      <c r="B749" s="5"/>
    </row>
    <row r="750" customFormat="false" ht="15.75" hidden="false" customHeight="true" outlineLevel="0" collapsed="false">
      <c r="B750" s="5"/>
    </row>
    <row r="751" customFormat="false" ht="15.75" hidden="false" customHeight="true" outlineLevel="0" collapsed="false">
      <c r="B751" s="5"/>
    </row>
    <row r="752" customFormat="false" ht="15.75" hidden="false" customHeight="true" outlineLevel="0" collapsed="false">
      <c r="B752" s="5"/>
    </row>
    <row r="753" customFormat="false" ht="15.75" hidden="false" customHeight="true" outlineLevel="0" collapsed="false">
      <c r="B753" s="5"/>
    </row>
    <row r="754" customFormat="false" ht="15.75" hidden="false" customHeight="true" outlineLevel="0" collapsed="false">
      <c r="B754" s="5"/>
    </row>
    <row r="755" customFormat="false" ht="15.75" hidden="false" customHeight="true" outlineLevel="0" collapsed="false">
      <c r="B755" s="5"/>
    </row>
    <row r="756" customFormat="false" ht="15.75" hidden="false" customHeight="true" outlineLevel="0" collapsed="false">
      <c r="B756" s="5"/>
    </row>
    <row r="757" customFormat="false" ht="15.75" hidden="false" customHeight="true" outlineLevel="0" collapsed="false">
      <c r="B757" s="5"/>
    </row>
    <row r="758" customFormat="false" ht="15.75" hidden="false" customHeight="true" outlineLevel="0" collapsed="false">
      <c r="B758" s="5"/>
    </row>
    <row r="759" customFormat="false" ht="15.75" hidden="false" customHeight="true" outlineLevel="0" collapsed="false">
      <c r="B759" s="5"/>
    </row>
    <row r="760" customFormat="false" ht="15.75" hidden="false" customHeight="true" outlineLevel="0" collapsed="false">
      <c r="B760" s="5"/>
    </row>
    <row r="761" customFormat="false" ht="15.75" hidden="false" customHeight="true" outlineLevel="0" collapsed="false">
      <c r="B761" s="5"/>
    </row>
    <row r="762" customFormat="false" ht="15.75" hidden="false" customHeight="true" outlineLevel="0" collapsed="false">
      <c r="B762" s="5"/>
    </row>
    <row r="763" customFormat="false" ht="15.75" hidden="false" customHeight="true" outlineLevel="0" collapsed="false">
      <c r="B763" s="5"/>
    </row>
    <row r="764" customFormat="false" ht="15.75" hidden="false" customHeight="true" outlineLevel="0" collapsed="false">
      <c r="B764" s="5"/>
    </row>
    <row r="765" customFormat="false" ht="15.75" hidden="false" customHeight="true" outlineLevel="0" collapsed="false">
      <c r="B765" s="5"/>
    </row>
    <row r="766" customFormat="false" ht="15.75" hidden="false" customHeight="true" outlineLevel="0" collapsed="false">
      <c r="B766" s="5"/>
    </row>
    <row r="767" customFormat="false" ht="15.75" hidden="false" customHeight="true" outlineLevel="0" collapsed="false">
      <c r="B767" s="5"/>
    </row>
    <row r="768" customFormat="false" ht="15.75" hidden="false" customHeight="true" outlineLevel="0" collapsed="false">
      <c r="B768" s="5"/>
    </row>
    <row r="769" customFormat="false" ht="15.75" hidden="false" customHeight="true" outlineLevel="0" collapsed="false">
      <c r="B769" s="5"/>
    </row>
    <row r="770" customFormat="false" ht="15.75" hidden="false" customHeight="true" outlineLevel="0" collapsed="false">
      <c r="B770" s="5"/>
    </row>
    <row r="771" customFormat="false" ht="15.75" hidden="false" customHeight="true" outlineLevel="0" collapsed="false">
      <c r="B771" s="5"/>
    </row>
    <row r="772" customFormat="false" ht="15.75" hidden="false" customHeight="true" outlineLevel="0" collapsed="false">
      <c r="B772" s="5"/>
    </row>
    <row r="773" customFormat="false" ht="15.75" hidden="false" customHeight="true" outlineLevel="0" collapsed="false">
      <c r="B773" s="5"/>
    </row>
    <row r="774" customFormat="false" ht="15.75" hidden="false" customHeight="true" outlineLevel="0" collapsed="false">
      <c r="B774" s="5"/>
    </row>
    <row r="775" customFormat="false" ht="15.75" hidden="false" customHeight="true" outlineLevel="0" collapsed="false">
      <c r="B775" s="5"/>
    </row>
    <row r="776" customFormat="false" ht="15.75" hidden="false" customHeight="true" outlineLevel="0" collapsed="false">
      <c r="B776" s="5"/>
    </row>
    <row r="777" customFormat="false" ht="15.75" hidden="false" customHeight="true" outlineLevel="0" collapsed="false">
      <c r="B777" s="5"/>
    </row>
    <row r="778" customFormat="false" ht="15.75" hidden="false" customHeight="true" outlineLevel="0" collapsed="false">
      <c r="B778" s="5"/>
    </row>
    <row r="779" customFormat="false" ht="15.75" hidden="false" customHeight="true" outlineLevel="0" collapsed="false">
      <c r="B779" s="5"/>
    </row>
    <row r="780" customFormat="false" ht="15.75" hidden="false" customHeight="true" outlineLevel="0" collapsed="false">
      <c r="B780" s="5"/>
    </row>
    <row r="781" customFormat="false" ht="15.75" hidden="false" customHeight="true" outlineLevel="0" collapsed="false">
      <c r="B781" s="5"/>
    </row>
    <row r="782" customFormat="false" ht="15.75" hidden="false" customHeight="true" outlineLevel="0" collapsed="false">
      <c r="B782" s="5"/>
    </row>
    <row r="783" customFormat="false" ht="15.75" hidden="false" customHeight="true" outlineLevel="0" collapsed="false">
      <c r="B783" s="5"/>
    </row>
    <row r="784" customFormat="false" ht="15.75" hidden="false" customHeight="true" outlineLevel="0" collapsed="false">
      <c r="B784" s="5"/>
    </row>
    <row r="785" customFormat="false" ht="15.75" hidden="false" customHeight="true" outlineLevel="0" collapsed="false">
      <c r="B785" s="5"/>
    </row>
    <row r="786" customFormat="false" ht="15.75" hidden="false" customHeight="true" outlineLevel="0" collapsed="false">
      <c r="B786" s="5"/>
    </row>
    <row r="787" customFormat="false" ht="15.75" hidden="false" customHeight="true" outlineLevel="0" collapsed="false">
      <c r="B787" s="5"/>
    </row>
    <row r="788" customFormat="false" ht="15.75" hidden="false" customHeight="true" outlineLevel="0" collapsed="false">
      <c r="B788" s="5"/>
    </row>
    <row r="789" customFormat="false" ht="15.75" hidden="false" customHeight="true" outlineLevel="0" collapsed="false">
      <c r="B789" s="5"/>
    </row>
    <row r="790" customFormat="false" ht="15.75" hidden="false" customHeight="true" outlineLevel="0" collapsed="false">
      <c r="B790" s="5"/>
    </row>
    <row r="791" customFormat="false" ht="15.75" hidden="false" customHeight="true" outlineLevel="0" collapsed="false">
      <c r="B791" s="5"/>
    </row>
    <row r="792" customFormat="false" ht="15.75" hidden="false" customHeight="true" outlineLevel="0" collapsed="false">
      <c r="B792" s="5"/>
    </row>
    <row r="793" customFormat="false" ht="15.75" hidden="false" customHeight="true" outlineLevel="0" collapsed="false">
      <c r="B793" s="5"/>
    </row>
    <row r="794" customFormat="false" ht="15.75" hidden="false" customHeight="true" outlineLevel="0" collapsed="false">
      <c r="B794" s="5"/>
    </row>
    <row r="795" customFormat="false" ht="15.75" hidden="false" customHeight="true" outlineLevel="0" collapsed="false">
      <c r="B795" s="5"/>
    </row>
    <row r="796" customFormat="false" ht="15.75" hidden="false" customHeight="true" outlineLevel="0" collapsed="false">
      <c r="B796" s="5"/>
    </row>
    <row r="797" customFormat="false" ht="15.75" hidden="false" customHeight="true" outlineLevel="0" collapsed="false">
      <c r="B797" s="5"/>
    </row>
    <row r="798" customFormat="false" ht="15.75" hidden="false" customHeight="true" outlineLevel="0" collapsed="false">
      <c r="B798" s="5"/>
    </row>
    <row r="799" customFormat="false" ht="15.75" hidden="false" customHeight="true" outlineLevel="0" collapsed="false">
      <c r="B799" s="5"/>
    </row>
    <row r="800" customFormat="false" ht="15.75" hidden="false" customHeight="true" outlineLevel="0" collapsed="false">
      <c r="B800" s="5"/>
    </row>
    <row r="801" customFormat="false" ht="15.75" hidden="false" customHeight="true" outlineLevel="0" collapsed="false">
      <c r="B801" s="5"/>
    </row>
    <row r="802" customFormat="false" ht="15.75" hidden="false" customHeight="true" outlineLevel="0" collapsed="false">
      <c r="B802" s="5"/>
    </row>
    <row r="803" customFormat="false" ht="15.75" hidden="false" customHeight="true" outlineLevel="0" collapsed="false">
      <c r="B803" s="5"/>
    </row>
    <row r="804" customFormat="false" ht="15.75" hidden="false" customHeight="true" outlineLevel="0" collapsed="false">
      <c r="B804" s="5"/>
    </row>
    <row r="805" customFormat="false" ht="15.75" hidden="false" customHeight="true" outlineLevel="0" collapsed="false">
      <c r="B805" s="5"/>
    </row>
    <row r="806" customFormat="false" ht="15.75" hidden="false" customHeight="true" outlineLevel="0" collapsed="false">
      <c r="B806" s="5"/>
    </row>
    <row r="807" customFormat="false" ht="15.75" hidden="false" customHeight="true" outlineLevel="0" collapsed="false">
      <c r="B807" s="5"/>
    </row>
    <row r="808" customFormat="false" ht="15.75" hidden="false" customHeight="true" outlineLevel="0" collapsed="false">
      <c r="B808" s="5"/>
    </row>
    <row r="809" customFormat="false" ht="15.75" hidden="false" customHeight="true" outlineLevel="0" collapsed="false">
      <c r="B809" s="5"/>
    </row>
    <row r="810" customFormat="false" ht="15.75" hidden="false" customHeight="true" outlineLevel="0" collapsed="false">
      <c r="B810" s="5"/>
    </row>
    <row r="811" customFormat="false" ht="15.75" hidden="false" customHeight="true" outlineLevel="0" collapsed="false">
      <c r="B811" s="5"/>
    </row>
    <row r="812" customFormat="false" ht="15.75" hidden="false" customHeight="true" outlineLevel="0" collapsed="false">
      <c r="B812" s="5"/>
    </row>
    <row r="813" customFormat="false" ht="15.75" hidden="false" customHeight="true" outlineLevel="0" collapsed="false">
      <c r="B813" s="5"/>
    </row>
    <row r="814" customFormat="false" ht="15.75" hidden="false" customHeight="true" outlineLevel="0" collapsed="false">
      <c r="B814" s="5"/>
    </row>
    <row r="815" customFormat="false" ht="15.75" hidden="false" customHeight="true" outlineLevel="0" collapsed="false">
      <c r="B815" s="5"/>
    </row>
    <row r="816" customFormat="false" ht="15.75" hidden="false" customHeight="true" outlineLevel="0" collapsed="false">
      <c r="B816" s="5"/>
    </row>
    <row r="817" customFormat="false" ht="15.75" hidden="false" customHeight="true" outlineLevel="0" collapsed="false">
      <c r="B817" s="5"/>
    </row>
    <row r="818" customFormat="false" ht="15.75" hidden="false" customHeight="true" outlineLevel="0" collapsed="false">
      <c r="B818" s="5"/>
    </row>
    <row r="819" customFormat="false" ht="15.75" hidden="false" customHeight="true" outlineLevel="0" collapsed="false">
      <c r="B819" s="5"/>
    </row>
    <row r="820" customFormat="false" ht="15.75" hidden="false" customHeight="true" outlineLevel="0" collapsed="false">
      <c r="B820" s="5"/>
    </row>
    <row r="821" customFormat="false" ht="15.75" hidden="false" customHeight="true" outlineLevel="0" collapsed="false">
      <c r="B821" s="5"/>
    </row>
    <row r="822" customFormat="false" ht="15.75" hidden="false" customHeight="true" outlineLevel="0" collapsed="false">
      <c r="B822" s="5"/>
    </row>
    <row r="823" customFormat="false" ht="15.75" hidden="false" customHeight="true" outlineLevel="0" collapsed="false">
      <c r="B823" s="5"/>
    </row>
    <row r="824" customFormat="false" ht="15.75" hidden="false" customHeight="true" outlineLevel="0" collapsed="false">
      <c r="B824" s="5"/>
    </row>
    <row r="825" customFormat="false" ht="15.75" hidden="false" customHeight="true" outlineLevel="0" collapsed="false">
      <c r="B825" s="5"/>
    </row>
    <row r="826" customFormat="false" ht="15.75" hidden="false" customHeight="true" outlineLevel="0" collapsed="false">
      <c r="B826" s="5"/>
    </row>
    <row r="827" customFormat="false" ht="15.75" hidden="false" customHeight="true" outlineLevel="0" collapsed="false">
      <c r="B827" s="5"/>
    </row>
    <row r="828" customFormat="false" ht="15.75" hidden="false" customHeight="true" outlineLevel="0" collapsed="false">
      <c r="B828" s="5"/>
    </row>
    <row r="829" customFormat="false" ht="15.75" hidden="false" customHeight="true" outlineLevel="0" collapsed="false">
      <c r="B829" s="5"/>
    </row>
    <row r="830" customFormat="false" ht="15.75" hidden="false" customHeight="true" outlineLevel="0" collapsed="false">
      <c r="B830" s="5"/>
    </row>
    <row r="831" customFormat="false" ht="15.75" hidden="false" customHeight="true" outlineLevel="0" collapsed="false">
      <c r="B831" s="5"/>
    </row>
    <row r="832" customFormat="false" ht="15.75" hidden="false" customHeight="true" outlineLevel="0" collapsed="false">
      <c r="B832" s="5"/>
    </row>
    <row r="833" customFormat="false" ht="15.75" hidden="false" customHeight="true" outlineLevel="0" collapsed="false">
      <c r="B833" s="5"/>
    </row>
    <row r="834" customFormat="false" ht="15.75" hidden="false" customHeight="true" outlineLevel="0" collapsed="false">
      <c r="B834" s="5"/>
    </row>
    <row r="835" customFormat="false" ht="15.75" hidden="false" customHeight="true" outlineLevel="0" collapsed="false">
      <c r="B835" s="5"/>
    </row>
    <row r="836" customFormat="false" ht="15.75" hidden="false" customHeight="true" outlineLevel="0" collapsed="false">
      <c r="B836" s="5"/>
    </row>
    <row r="837" customFormat="false" ht="15.75" hidden="false" customHeight="true" outlineLevel="0" collapsed="false">
      <c r="B837" s="5"/>
    </row>
    <row r="838" customFormat="false" ht="15.75" hidden="false" customHeight="true" outlineLevel="0" collapsed="false">
      <c r="B838" s="5"/>
    </row>
    <row r="839" customFormat="false" ht="15.75" hidden="false" customHeight="true" outlineLevel="0" collapsed="false">
      <c r="B839" s="5"/>
    </row>
    <row r="840" customFormat="false" ht="15.75" hidden="false" customHeight="true" outlineLevel="0" collapsed="false">
      <c r="B840" s="5"/>
    </row>
    <row r="841" customFormat="false" ht="15.75" hidden="false" customHeight="true" outlineLevel="0" collapsed="false">
      <c r="B841" s="5"/>
    </row>
    <row r="842" customFormat="false" ht="15.75" hidden="false" customHeight="true" outlineLevel="0" collapsed="false">
      <c r="B842" s="5"/>
    </row>
    <row r="843" customFormat="false" ht="15.75" hidden="false" customHeight="true" outlineLevel="0" collapsed="false">
      <c r="B843" s="5"/>
    </row>
    <row r="844" customFormat="false" ht="15.75" hidden="false" customHeight="true" outlineLevel="0" collapsed="false">
      <c r="B844" s="5"/>
    </row>
    <row r="845" customFormat="false" ht="15.75" hidden="false" customHeight="true" outlineLevel="0" collapsed="false">
      <c r="B845" s="5"/>
    </row>
    <row r="846" customFormat="false" ht="15.75" hidden="false" customHeight="true" outlineLevel="0" collapsed="false">
      <c r="B846" s="5"/>
    </row>
    <row r="847" customFormat="false" ht="15.75" hidden="false" customHeight="true" outlineLevel="0" collapsed="false">
      <c r="B847" s="5"/>
    </row>
    <row r="848" customFormat="false" ht="15.75" hidden="false" customHeight="true" outlineLevel="0" collapsed="false">
      <c r="B848" s="5"/>
    </row>
    <row r="849" customFormat="false" ht="15.75" hidden="false" customHeight="true" outlineLevel="0" collapsed="false">
      <c r="B849" s="5"/>
    </row>
    <row r="850" customFormat="false" ht="15.75" hidden="false" customHeight="true" outlineLevel="0" collapsed="false">
      <c r="B850" s="5"/>
    </row>
    <row r="851" customFormat="false" ht="15.75" hidden="false" customHeight="true" outlineLevel="0" collapsed="false">
      <c r="B851" s="5"/>
    </row>
    <row r="852" customFormat="false" ht="15.75" hidden="false" customHeight="true" outlineLevel="0" collapsed="false">
      <c r="B852" s="5"/>
    </row>
    <row r="853" customFormat="false" ht="15.75" hidden="false" customHeight="true" outlineLevel="0" collapsed="false">
      <c r="B853" s="5"/>
    </row>
    <row r="854" customFormat="false" ht="15.75" hidden="false" customHeight="true" outlineLevel="0" collapsed="false">
      <c r="B854" s="5"/>
    </row>
    <row r="855" customFormat="false" ht="15.75" hidden="false" customHeight="true" outlineLevel="0" collapsed="false">
      <c r="B855" s="5"/>
    </row>
    <row r="856" customFormat="false" ht="15.75" hidden="false" customHeight="true" outlineLevel="0" collapsed="false">
      <c r="B856" s="5"/>
    </row>
    <row r="857" customFormat="false" ht="15.75" hidden="false" customHeight="true" outlineLevel="0" collapsed="false">
      <c r="B857" s="5"/>
    </row>
    <row r="858" customFormat="false" ht="15.75" hidden="false" customHeight="true" outlineLevel="0" collapsed="false">
      <c r="B858" s="5"/>
    </row>
    <row r="859" customFormat="false" ht="15.75" hidden="false" customHeight="true" outlineLevel="0" collapsed="false">
      <c r="B859" s="5"/>
    </row>
    <row r="860" customFormat="false" ht="15.75" hidden="false" customHeight="true" outlineLevel="0" collapsed="false">
      <c r="B860" s="5"/>
    </row>
    <row r="861" customFormat="false" ht="15.75" hidden="false" customHeight="true" outlineLevel="0" collapsed="false">
      <c r="B861" s="5"/>
    </row>
    <row r="862" customFormat="false" ht="15.75" hidden="false" customHeight="true" outlineLevel="0" collapsed="false">
      <c r="B862" s="5"/>
    </row>
    <row r="863" customFormat="false" ht="15.75" hidden="false" customHeight="true" outlineLevel="0" collapsed="false">
      <c r="B863" s="5"/>
    </row>
    <row r="864" customFormat="false" ht="15.75" hidden="false" customHeight="true" outlineLevel="0" collapsed="false">
      <c r="B864" s="5"/>
    </row>
    <row r="865" customFormat="false" ht="15.75" hidden="false" customHeight="true" outlineLevel="0" collapsed="false">
      <c r="B865" s="5"/>
    </row>
    <row r="866" customFormat="false" ht="15.75" hidden="false" customHeight="true" outlineLevel="0" collapsed="false">
      <c r="B866" s="5"/>
    </row>
    <row r="867" customFormat="false" ht="15.75" hidden="false" customHeight="true" outlineLevel="0" collapsed="false">
      <c r="B867" s="5"/>
    </row>
    <row r="868" customFormat="false" ht="15.75" hidden="false" customHeight="true" outlineLevel="0" collapsed="false">
      <c r="B868" s="5"/>
    </row>
    <row r="869" customFormat="false" ht="15.75" hidden="false" customHeight="true" outlineLevel="0" collapsed="false">
      <c r="B869" s="5"/>
    </row>
    <row r="870" customFormat="false" ht="15.75" hidden="false" customHeight="true" outlineLevel="0" collapsed="false">
      <c r="B870" s="5"/>
    </row>
    <row r="871" customFormat="false" ht="15.75" hidden="false" customHeight="true" outlineLevel="0" collapsed="false">
      <c r="B871" s="5"/>
    </row>
    <row r="872" customFormat="false" ht="15.75" hidden="false" customHeight="true" outlineLevel="0" collapsed="false">
      <c r="B872" s="5"/>
    </row>
    <row r="873" customFormat="false" ht="15.75" hidden="false" customHeight="true" outlineLevel="0" collapsed="false">
      <c r="B873" s="5"/>
    </row>
    <row r="874" customFormat="false" ht="15.75" hidden="false" customHeight="true" outlineLevel="0" collapsed="false">
      <c r="B874" s="5"/>
    </row>
    <row r="875" customFormat="false" ht="15.75" hidden="false" customHeight="true" outlineLevel="0" collapsed="false">
      <c r="B875" s="5"/>
    </row>
    <row r="876" customFormat="false" ht="15.75" hidden="false" customHeight="true" outlineLevel="0" collapsed="false">
      <c r="B876" s="5"/>
    </row>
    <row r="877" customFormat="false" ht="15.75" hidden="false" customHeight="true" outlineLevel="0" collapsed="false">
      <c r="B877" s="5"/>
    </row>
    <row r="878" customFormat="false" ht="15.75" hidden="false" customHeight="true" outlineLevel="0" collapsed="false">
      <c r="B878" s="5"/>
    </row>
    <row r="879" customFormat="false" ht="15.75" hidden="false" customHeight="true" outlineLevel="0" collapsed="false">
      <c r="B879" s="5"/>
    </row>
    <row r="880" customFormat="false" ht="15.75" hidden="false" customHeight="true" outlineLevel="0" collapsed="false">
      <c r="B880" s="5"/>
    </row>
    <row r="881" customFormat="false" ht="15.75" hidden="false" customHeight="true" outlineLevel="0" collapsed="false">
      <c r="B881" s="5"/>
    </row>
    <row r="882" customFormat="false" ht="15.75" hidden="false" customHeight="true" outlineLevel="0" collapsed="false">
      <c r="B882" s="5"/>
    </row>
    <row r="883" customFormat="false" ht="15.75" hidden="false" customHeight="true" outlineLevel="0" collapsed="false">
      <c r="B883" s="5"/>
    </row>
    <row r="884" customFormat="false" ht="15.75" hidden="false" customHeight="true" outlineLevel="0" collapsed="false">
      <c r="B884" s="5"/>
    </row>
    <row r="885" customFormat="false" ht="15.75" hidden="false" customHeight="true" outlineLevel="0" collapsed="false">
      <c r="B885" s="5"/>
    </row>
    <row r="886" customFormat="false" ht="15.75" hidden="false" customHeight="true" outlineLevel="0" collapsed="false">
      <c r="B886" s="5"/>
    </row>
    <row r="887" customFormat="false" ht="15.75" hidden="false" customHeight="true" outlineLevel="0" collapsed="false">
      <c r="B887" s="5"/>
    </row>
    <row r="888" customFormat="false" ht="15.75" hidden="false" customHeight="true" outlineLevel="0" collapsed="false">
      <c r="B888" s="5"/>
    </row>
    <row r="889" customFormat="false" ht="15.75" hidden="false" customHeight="true" outlineLevel="0" collapsed="false">
      <c r="B889" s="5"/>
    </row>
    <row r="890" customFormat="false" ht="15.75" hidden="false" customHeight="true" outlineLevel="0" collapsed="false">
      <c r="B890" s="5"/>
    </row>
    <row r="891" customFormat="false" ht="15.75" hidden="false" customHeight="true" outlineLevel="0" collapsed="false">
      <c r="B891" s="5"/>
    </row>
    <row r="892" customFormat="false" ht="15.75" hidden="false" customHeight="true" outlineLevel="0" collapsed="false">
      <c r="B892" s="5"/>
    </row>
    <row r="893" customFormat="false" ht="15.75" hidden="false" customHeight="true" outlineLevel="0" collapsed="false">
      <c r="B893" s="5"/>
    </row>
    <row r="894" customFormat="false" ht="15.75" hidden="false" customHeight="true" outlineLevel="0" collapsed="false">
      <c r="B894" s="5"/>
    </row>
    <row r="895" customFormat="false" ht="15.75" hidden="false" customHeight="true" outlineLevel="0" collapsed="false">
      <c r="B895" s="5"/>
    </row>
    <row r="896" customFormat="false" ht="15.75" hidden="false" customHeight="true" outlineLevel="0" collapsed="false">
      <c r="B896" s="5"/>
    </row>
    <row r="897" customFormat="false" ht="15.75" hidden="false" customHeight="true" outlineLevel="0" collapsed="false">
      <c r="B897" s="5"/>
    </row>
    <row r="898" customFormat="false" ht="15.75" hidden="false" customHeight="true" outlineLevel="0" collapsed="false">
      <c r="B898" s="5"/>
    </row>
    <row r="899" customFormat="false" ht="15.75" hidden="false" customHeight="true" outlineLevel="0" collapsed="false">
      <c r="B899" s="5"/>
    </row>
    <row r="900" customFormat="false" ht="15.75" hidden="false" customHeight="true" outlineLevel="0" collapsed="false">
      <c r="B900" s="5"/>
    </row>
    <row r="901" customFormat="false" ht="15.75" hidden="false" customHeight="true" outlineLevel="0" collapsed="false">
      <c r="B901" s="5"/>
    </row>
    <row r="902" customFormat="false" ht="15.75" hidden="false" customHeight="true" outlineLevel="0" collapsed="false">
      <c r="B902" s="5"/>
    </row>
    <row r="903" customFormat="false" ht="15.75" hidden="false" customHeight="true" outlineLevel="0" collapsed="false">
      <c r="B903" s="5"/>
    </row>
    <row r="904" customFormat="false" ht="15.75" hidden="false" customHeight="true" outlineLevel="0" collapsed="false">
      <c r="B904" s="5"/>
    </row>
    <row r="905" customFormat="false" ht="15.75" hidden="false" customHeight="true" outlineLevel="0" collapsed="false">
      <c r="B905" s="5"/>
    </row>
    <row r="906" customFormat="false" ht="15.75" hidden="false" customHeight="true" outlineLevel="0" collapsed="false">
      <c r="B906" s="5"/>
    </row>
    <row r="907" customFormat="false" ht="15.75" hidden="false" customHeight="true" outlineLevel="0" collapsed="false">
      <c r="B907" s="5"/>
    </row>
    <row r="908" customFormat="false" ht="15.75" hidden="false" customHeight="true" outlineLevel="0" collapsed="false">
      <c r="B908" s="5"/>
    </row>
    <row r="909" customFormat="false" ht="15.75" hidden="false" customHeight="true" outlineLevel="0" collapsed="false">
      <c r="B909" s="5"/>
    </row>
    <row r="910" customFormat="false" ht="15.75" hidden="false" customHeight="true" outlineLevel="0" collapsed="false">
      <c r="B910" s="5"/>
    </row>
    <row r="911" customFormat="false" ht="15.75" hidden="false" customHeight="true" outlineLevel="0" collapsed="false">
      <c r="B911" s="5"/>
    </row>
    <row r="912" customFormat="false" ht="15.75" hidden="false" customHeight="true" outlineLevel="0" collapsed="false">
      <c r="B912" s="5"/>
    </row>
    <row r="913" customFormat="false" ht="15.75" hidden="false" customHeight="true" outlineLevel="0" collapsed="false">
      <c r="B913" s="5"/>
    </row>
    <row r="914" customFormat="false" ht="15.75" hidden="false" customHeight="true" outlineLevel="0" collapsed="false">
      <c r="B914" s="5"/>
    </row>
    <row r="915" customFormat="false" ht="15.75" hidden="false" customHeight="true" outlineLevel="0" collapsed="false">
      <c r="B915" s="5"/>
    </row>
    <row r="916" customFormat="false" ht="15.75" hidden="false" customHeight="true" outlineLevel="0" collapsed="false">
      <c r="B916" s="5"/>
    </row>
    <row r="917" customFormat="false" ht="15.75" hidden="false" customHeight="true" outlineLevel="0" collapsed="false">
      <c r="B917" s="5"/>
    </row>
    <row r="918" customFormat="false" ht="15.75" hidden="false" customHeight="true" outlineLevel="0" collapsed="false">
      <c r="B918" s="5"/>
    </row>
    <row r="919" customFormat="false" ht="15.75" hidden="false" customHeight="true" outlineLevel="0" collapsed="false">
      <c r="B919" s="5"/>
    </row>
    <row r="920" customFormat="false" ht="15.75" hidden="false" customHeight="true" outlineLevel="0" collapsed="false">
      <c r="B920" s="5"/>
    </row>
    <row r="921" customFormat="false" ht="15.75" hidden="false" customHeight="true" outlineLevel="0" collapsed="false">
      <c r="B921" s="5"/>
    </row>
    <row r="922" customFormat="false" ht="15.75" hidden="false" customHeight="true" outlineLevel="0" collapsed="false">
      <c r="B922" s="5"/>
    </row>
    <row r="923" customFormat="false" ht="15.75" hidden="false" customHeight="true" outlineLevel="0" collapsed="false">
      <c r="B923" s="5"/>
    </row>
    <row r="924" customFormat="false" ht="15.75" hidden="false" customHeight="true" outlineLevel="0" collapsed="false">
      <c r="B924" s="5"/>
    </row>
    <row r="925" customFormat="false" ht="15.75" hidden="false" customHeight="true" outlineLevel="0" collapsed="false">
      <c r="B925" s="5"/>
    </row>
    <row r="926" customFormat="false" ht="15.75" hidden="false" customHeight="true" outlineLevel="0" collapsed="false">
      <c r="B926" s="5"/>
    </row>
    <row r="927" customFormat="false" ht="15.75" hidden="false" customHeight="true" outlineLevel="0" collapsed="false">
      <c r="B927" s="5"/>
    </row>
    <row r="928" customFormat="false" ht="15.75" hidden="false" customHeight="true" outlineLevel="0" collapsed="false">
      <c r="B928" s="5"/>
    </row>
    <row r="929" customFormat="false" ht="15.75" hidden="false" customHeight="true" outlineLevel="0" collapsed="false">
      <c r="B929" s="5"/>
    </row>
    <row r="930" customFormat="false" ht="15.75" hidden="false" customHeight="true" outlineLevel="0" collapsed="false">
      <c r="B930" s="5"/>
    </row>
    <row r="931" customFormat="false" ht="15.75" hidden="false" customHeight="true" outlineLevel="0" collapsed="false">
      <c r="B931" s="5"/>
    </row>
    <row r="932" customFormat="false" ht="15.75" hidden="false" customHeight="true" outlineLevel="0" collapsed="false">
      <c r="B932" s="5"/>
    </row>
    <row r="933" customFormat="false" ht="15.75" hidden="false" customHeight="true" outlineLevel="0" collapsed="false">
      <c r="B933" s="5"/>
    </row>
    <row r="934" customFormat="false" ht="15.75" hidden="false" customHeight="true" outlineLevel="0" collapsed="false">
      <c r="B934" s="5"/>
    </row>
    <row r="935" customFormat="false" ht="15.75" hidden="false" customHeight="true" outlineLevel="0" collapsed="false">
      <c r="B935" s="5"/>
    </row>
    <row r="936" customFormat="false" ht="15.75" hidden="false" customHeight="true" outlineLevel="0" collapsed="false">
      <c r="B936" s="5"/>
    </row>
    <row r="937" customFormat="false" ht="15.75" hidden="false" customHeight="true" outlineLevel="0" collapsed="false">
      <c r="B937" s="5"/>
    </row>
    <row r="938" customFormat="false" ht="15.75" hidden="false" customHeight="true" outlineLevel="0" collapsed="false">
      <c r="B938" s="5"/>
    </row>
    <row r="939" customFormat="false" ht="15.75" hidden="false" customHeight="true" outlineLevel="0" collapsed="false">
      <c r="B939" s="5"/>
    </row>
    <row r="940" customFormat="false" ht="15.75" hidden="false" customHeight="true" outlineLevel="0" collapsed="false">
      <c r="B940" s="5"/>
    </row>
    <row r="941" customFormat="false" ht="15.75" hidden="false" customHeight="true" outlineLevel="0" collapsed="false">
      <c r="B941" s="5"/>
    </row>
    <row r="942" customFormat="false" ht="15.75" hidden="false" customHeight="true" outlineLevel="0" collapsed="false">
      <c r="B942" s="5"/>
    </row>
    <row r="943" customFormat="false" ht="15.75" hidden="false" customHeight="true" outlineLevel="0" collapsed="false">
      <c r="B943" s="5"/>
    </row>
    <row r="944" customFormat="false" ht="15.75" hidden="false" customHeight="true" outlineLevel="0" collapsed="false">
      <c r="B944" s="5"/>
    </row>
    <row r="945" customFormat="false" ht="15.75" hidden="false" customHeight="true" outlineLevel="0" collapsed="false">
      <c r="B945" s="5"/>
    </row>
    <row r="946" customFormat="false" ht="15.75" hidden="false" customHeight="true" outlineLevel="0" collapsed="false">
      <c r="B946" s="5"/>
    </row>
    <row r="947" customFormat="false" ht="15.75" hidden="false" customHeight="true" outlineLevel="0" collapsed="false">
      <c r="B947" s="5"/>
    </row>
    <row r="948" customFormat="false" ht="15.75" hidden="false" customHeight="true" outlineLevel="0" collapsed="false">
      <c r="B948" s="5"/>
    </row>
    <row r="949" customFormat="false" ht="15.75" hidden="false" customHeight="true" outlineLevel="0" collapsed="false">
      <c r="B949" s="5"/>
    </row>
    <row r="950" customFormat="false" ht="15.75" hidden="false" customHeight="true" outlineLevel="0" collapsed="false">
      <c r="B950" s="5"/>
    </row>
    <row r="951" customFormat="false" ht="15.75" hidden="false" customHeight="true" outlineLevel="0" collapsed="false">
      <c r="B951" s="5"/>
    </row>
    <row r="952" customFormat="false" ht="15.75" hidden="false" customHeight="true" outlineLevel="0" collapsed="false">
      <c r="B952" s="5"/>
    </row>
    <row r="953" customFormat="false" ht="15.75" hidden="false" customHeight="true" outlineLevel="0" collapsed="false">
      <c r="B953" s="5"/>
    </row>
    <row r="954" customFormat="false" ht="15.75" hidden="false" customHeight="true" outlineLevel="0" collapsed="false">
      <c r="B954" s="5"/>
    </row>
    <row r="955" customFormat="false" ht="15.75" hidden="false" customHeight="true" outlineLevel="0" collapsed="false">
      <c r="B955" s="5"/>
    </row>
    <row r="956" customFormat="false" ht="15.75" hidden="false" customHeight="true" outlineLevel="0" collapsed="false">
      <c r="B956" s="5"/>
    </row>
    <row r="957" customFormat="false" ht="15.75" hidden="false" customHeight="true" outlineLevel="0" collapsed="false">
      <c r="B957" s="5"/>
    </row>
    <row r="958" customFormat="false" ht="15.75" hidden="false" customHeight="true" outlineLevel="0" collapsed="false">
      <c r="B958" s="5"/>
    </row>
    <row r="959" customFormat="false" ht="15.75" hidden="false" customHeight="true" outlineLevel="0" collapsed="false">
      <c r="B959" s="5"/>
    </row>
    <row r="960" customFormat="false" ht="15.75" hidden="false" customHeight="true" outlineLevel="0" collapsed="false">
      <c r="B960" s="5"/>
    </row>
    <row r="961" customFormat="false" ht="15.75" hidden="false" customHeight="true" outlineLevel="0" collapsed="false">
      <c r="B961" s="5"/>
    </row>
    <row r="962" customFormat="false" ht="15.75" hidden="false" customHeight="true" outlineLevel="0" collapsed="false">
      <c r="B962" s="5"/>
    </row>
    <row r="963" customFormat="false" ht="15.75" hidden="false" customHeight="true" outlineLevel="0" collapsed="false">
      <c r="B963" s="5"/>
    </row>
    <row r="964" customFormat="false" ht="15.75" hidden="false" customHeight="true" outlineLevel="0" collapsed="false">
      <c r="B964" s="5"/>
    </row>
    <row r="965" customFormat="false" ht="15.75" hidden="false" customHeight="true" outlineLevel="0" collapsed="false">
      <c r="B965" s="5"/>
    </row>
    <row r="966" customFormat="false" ht="15.75" hidden="false" customHeight="true" outlineLevel="0" collapsed="false">
      <c r="B966" s="5"/>
    </row>
    <row r="967" customFormat="false" ht="15.75" hidden="false" customHeight="true" outlineLevel="0" collapsed="false">
      <c r="B967" s="5"/>
    </row>
    <row r="968" customFormat="false" ht="15.75" hidden="false" customHeight="true" outlineLevel="0" collapsed="false">
      <c r="B968" s="5"/>
    </row>
    <row r="969" customFormat="false" ht="15.75" hidden="false" customHeight="true" outlineLevel="0" collapsed="false">
      <c r="B969" s="5"/>
    </row>
    <row r="970" customFormat="false" ht="15.75" hidden="false" customHeight="true" outlineLevel="0" collapsed="false">
      <c r="B970" s="5"/>
    </row>
    <row r="971" customFormat="false" ht="15.75" hidden="false" customHeight="true" outlineLevel="0" collapsed="false">
      <c r="B971" s="5"/>
    </row>
    <row r="972" customFormat="false" ht="15.75" hidden="false" customHeight="true" outlineLevel="0" collapsed="false">
      <c r="B972" s="5"/>
    </row>
    <row r="973" customFormat="false" ht="15.75" hidden="false" customHeight="true" outlineLevel="0" collapsed="false">
      <c r="B973" s="5"/>
    </row>
    <row r="974" customFormat="false" ht="15.75" hidden="false" customHeight="true" outlineLevel="0" collapsed="false">
      <c r="B974" s="5"/>
    </row>
    <row r="975" customFormat="false" ht="15.75" hidden="false" customHeight="true" outlineLevel="0" collapsed="false">
      <c r="B975" s="5"/>
    </row>
    <row r="976" customFormat="false" ht="15.75" hidden="false" customHeight="true" outlineLevel="0" collapsed="false">
      <c r="B976" s="5"/>
    </row>
    <row r="977" customFormat="false" ht="15.75" hidden="false" customHeight="true" outlineLevel="0" collapsed="false">
      <c r="B977" s="5"/>
    </row>
    <row r="978" customFormat="false" ht="15.75" hidden="false" customHeight="true" outlineLevel="0" collapsed="false">
      <c r="B978" s="5"/>
    </row>
    <row r="979" customFormat="false" ht="15.75" hidden="false" customHeight="true" outlineLevel="0" collapsed="false">
      <c r="B979" s="5"/>
    </row>
    <row r="980" customFormat="false" ht="15.75" hidden="false" customHeight="true" outlineLevel="0" collapsed="false">
      <c r="B980" s="5"/>
    </row>
    <row r="981" customFormat="false" ht="15.75" hidden="false" customHeight="true" outlineLevel="0" collapsed="false">
      <c r="B981" s="5"/>
    </row>
    <row r="982" customFormat="false" ht="15.75" hidden="false" customHeight="true" outlineLevel="0" collapsed="false">
      <c r="B982" s="5"/>
    </row>
    <row r="983" customFormat="false" ht="15.75" hidden="false" customHeight="true" outlineLevel="0" collapsed="false">
      <c r="B983" s="5"/>
    </row>
    <row r="984" customFormat="false" ht="15.75" hidden="false" customHeight="true" outlineLevel="0" collapsed="false">
      <c r="B984" s="5"/>
    </row>
    <row r="985" customFormat="false" ht="15.75" hidden="false" customHeight="true" outlineLevel="0" collapsed="false">
      <c r="B985" s="5"/>
    </row>
    <row r="986" customFormat="false" ht="15.75" hidden="false" customHeight="true" outlineLevel="0" collapsed="false">
      <c r="B986" s="5"/>
    </row>
    <row r="987" customFormat="false" ht="15.75" hidden="false" customHeight="true" outlineLevel="0" collapsed="false">
      <c r="B987" s="5"/>
    </row>
    <row r="988" customFormat="false" ht="15.75" hidden="false" customHeight="true" outlineLevel="0" collapsed="false">
      <c r="B988" s="5"/>
    </row>
    <row r="989" customFormat="false" ht="15.75" hidden="false" customHeight="true" outlineLevel="0" collapsed="false">
      <c r="B989" s="5"/>
    </row>
    <row r="990" customFormat="false" ht="15.75" hidden="false" customHeight="true" outlineLevel="0" collapsed="false">
      <c r="B990" s="5"/>
    </row>
    <row r="991" customFormat="false" ht="15.75" hidden="false" customHeight="true" outlineLevel="0" collapsed="false">
      <c r="B991" s="5"/>
    </row>
    <row r="992" customFormat="false" ht="15.75" hidden="false" customHeight="true" outlineLevel="0" collapsed="false">
      <c r="B992" s="5"/>
    </row>
    <row r="993" customFormat="false" ht="15.75" hidden="false" customHeight="true" outlineLevel="0" collapsed="false">
      <c r="B993" s="5"/>
    </row>
    <row r="994" customFormat="false" ht="15.75" hidden="false" customHeight="true" outlineLevel="0" collapsed="false">
      <c r="B994" s="5"/>
    </row>
    <row r="995" customFormat="false" ht="15.75" hidden="false" customHeight="true" outlineLevel="0" collapsed="false">
      <c r="B995" s="5"/>
    </row>
    <row r="996" customFormat="false" ht="15.75" hidden="false" customHeight="true" outlineLevel="0" collapsed="false">
      <c r="B996" s="5"/>
    </row>
    <row r="997" customFormat="false" ht="15.75" hidden="false" customHeight="true" outlineLevel="0" collapsed="false">
      <c r="B997" s="5"/>
    </row>
    <row r="998" customFormat="false" ht="15.75" hidden="false" customHeight="true" outlineLevel="0" collapsed="false">
      <c r="B998" s="5"/>
    </row>
    <row r="999" customFormat="false" ht="15.75" hidden="false" customHeight="true" outlineLevel="0" collapsed="false">
      <c r="B999" s="5"/>
    </row>
    <row r="1000" customFormat="false" ht="15.75" hidden="false" customHeight="true" outlineLevel="0" collapsed="false">
      <c r="B1000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7" activeCellId="0" sqref="M7"/>
    </sheetView>
  </sheetViews>
  <sheetFormatPr defaultColWidth="12.63671875" defaultRowHeight="15" customHeight="true" zeroHeight="false" outlineLevelRow="0" outlineLevelCol="0"/>
  <cols>
    <col collapsed="false" customWidth="true" hidden="false" outlineLevel="0" max="1" min="1" style="1" width="9.38"/>
    <col collapsed="false" customWidth="true" hidden="false" outlineLevel="0" max="2" min="2" style="1" width="18.49"/>
    <col collapsed="false" customWidth="true" hidden="false" outlineLevel="0" max="3" min="3" style="1" width="14.17"/>
    <col collapsed="false" customWidth="true" hidden="false" outlineLevel="0" max="4" min="4" style="1" width="14.79"/>
    <col collapsed="false" customWidth="true" hidden="false" outlineLevel="0" max="12" min="5" style="1" width="6.95"/>
    <col collapsed="false" customWidth="true" hidden="false" outlineLevel="0" max="26" min="13" style="1" width="9.38"/>
  </cols>
  <sheetData>
    <row r="2" customFormat="false" ht="15" hidden="false" customHeight="false" outlineLevel="0" collapsed="false">
      <c r="B2" s="6"/>
      <c r="C2" s="6" t="s">
        <v>44</v>
      </c>
      <c r="D2" s="6"/>
      <c r="E2" s="6" t="n">
        <v>4</v>
      </c>
      <c r="F2" s="6" t="n">
        <v>5</v>
      </c>
      <c r="G2" s="6" t="n">
        <v>5</v>
      </c>
      <c r="H2" s="6" t="n">
        <v>5</v>
      </c>
      <c r="I2" s="6" t="n">
        <v>8</v>
      </c>
      <c r="J2" s="6" t="n">
        <v>9</v>
      </c>
      <c r="K2" s="6" t="n">
        <v>8</v>
      </c>
      <c r="L2" s="6" t="n">
        <v>9</v>
      </c>
    </row>
    <row r="3" customFormat="false" ht="15" hidden="false" customHeight="false" outlineLevel="0" collapsed="false">
      <c r="B3" s="6" t="s">
        <v>45</v>
      </c>
      <c r="C3" s="6" t="s">
        <v>79</v>
      </c>
      <c r="D3" s="6" t="s">
        <v>47</v>
      </c>
      <c r="E3" s="6" t="s">
        <v>49</v>
      </c>
      <c r="F3" s="6" t="s">
        <v>50</v>
      </c>
      <c r="G3" s="6" t="s">
        <v>51</v>
      </c>
      <c r="H3" s="6" t="s">
        <v>52</v>
      </c>
      <c r="I3" s="6" t="s">
        <v>53</v>
      </c>
      <c r="J3" s="6" t="s">
        <v>54</v>
      </c>
      <c r="K3" s="6" t="s">
        <v>55</v>
      </c>
      <c r="L3" s="6" t="s">
        <v>56</v>
      </c>
    </row>
    <row r="4" customFormat="false" ht="15" hidden="false" customHeight="false" outlineLevel="0" collapsed="false">
      <c r="B4" s="6" t="n">
        <v>1</v>
      </c>
      <c r="C4" s="6" t="s">
        <v>7</v>
      </c>
      <c r="D4" s="6" t="n">
        <f aca="false">COUNT(E4:K4)</f>
        <v>7</v>
      </c>
      <c r="E4" s="5" t="n">
        <v>1</v>
      </c>
      <c r="F4" s="5" t="n">
        <v>2</v>
      </c>
      <c r="G4" s="5" t="n">
        <v>1</v>
      </c>
      <c r="H4" s="5" t="n">
        <v>1</v>
      </c>
      <c r="I4" s="5" t="n">
        <v>7</v>
      </c>
      <c r="J4" s="5" t="n">
        <v>6</v>
      </c>
      <c r="K4" s="5" t="n">
        <v>1</v>
      </c>
      <c r="L4" s="5"/>
    </row>
    <row r="5" customFormat="false" ht="15" hidden="false" customHeight="false" outlineLevel="0" collapsed="false">
      <c r="B5" s="6" t="n">
        <v>2</v>
      </c>
      <c r="C5" s="6" t="s">
        <v>6</v>
      </c>
      <c r="D5" s="6" t="n">
        <f aca="false">COUNT(E5:K5)</f>
        <v>7</v>
      </c>
      <c r="E5" s="5" t="n">
        <v>3</v>
      </c>
      <c r="F5" s="5" t="n">
        <v>4</v>
      </c>
      <c r="G5" s="5" t="n">
        <v>3</v>
      </c>
      <c r="H5" s="5" t="n">
        <v>2</v>
      </c>
      <c r="I5" s="5" t="n">
        <v>2</v>
      </c>
      <c r="J5" s="5" t="n">
        <v>4</v>
      </c>
      <c r="K5" s="5" t="n">
        <v>2</v>
      </c>
      <c r="L5" s="5"/>
    </row>
    <row r="6" customFormat="false" ht="15" hidden="false" customHeight="false" outlineLevel="0" collapsed="false">
      <c r="B6" s="6" t="n">
        <v>3</v>
      </c>
      <c r="C6" s="6" t="s">
        <v>10</v>
      </c>
      <c r="D6" s="6" t="n">
        <f aca="false">COUNT(E6:K6)</f>
        <v>4</v>
      </c>
      <c r="E6" s="5"/>
      <c r="F6" s="5"/>
      <c r="G6" s="5"/>
      <c r="H6" s="5" t="n">
        <v>1</v>
      </c>
      <c r="I6" s="5" t="n">
        <v>2</v>
      </c>
      <c r="J6" s="5" t="n">
        <v>1</v>
      </c>
      <c r="K6" s="5" t="n">
        <v>4</v>
      </c>
      <c r="L6" s="5"/>
    </row>
    <row r="7" customFormat="false" ht="15" hidden="false" customHeight="false" outlineLevel="0" collapsed="false">
      <c r="B7" s="6" t="n">
        <v>4</v>
      </c>
      <c r="C7" s="6" t="s">
        <v>11</v>
      </c>
      <c r="D7" s="6" t="n">
        <f aca="false">COUNT(E7:K7)</f>
        <v>5</v>
      </c>
      <c r="E7" s="5" t="n">
        <v>2</v>
      </c>
      <c r="F7" s="5" t="n">
        <v>1</v>
      </c>
      <c r="G7" s="5" t="n">
        <v>4</v>
      </c>
      <c r="H7" s="5"/>
      <c r="I7" s="5" t="n">
        <v>1</v>
      </c>
      <c r="J7" s="5"/>
      <c r="K7" s="5" t="n">
        <v>3</v>
      </c>
      <c r="L7" s="5"/>
    </row>
    <row r="8" customFormat="false" ht="15" hidden="false" customHeight="false" outlineLevel="0" collapsed="false">
      <c r="B8" s="6" t="n">
        <v>5</v>
      </c>
      <c r="C8" s="6" t="s">
        <v>9</v>
      </c>
      <c r="D8" s="6" t="n">
        <f aca="false">COUNT(E8:K8)</f>
        <v>6</v>
      </c>
      <c r="E8" s="5"/>
      <c r="F8" s="5" t="n">
        <v>5</v>
      </c>
      <c r="G8" s="5" t="n">
        <v>1</v>
      </c>
      <c r="H8" s="5" t="n">
        <v>4</v>
      </c>
      <c r="I8" s="5" t="n">
        <v>1</v>
      </c>
      <c r="J8" s="5" t="n">
        <v>3</v>
      </c>
      <c r="K8" s="5" t="n">
        <v>8</v>
      </c>
      <c r="L8" s="5"/>
    </row>
    <row r="9" customFormat="false" ht="15" hidden="false" customHeight="false" outlineLevel="0" collapsed="false">
      <c r="B9" s="6" t="n">
        <v>6</v>
      </c>
      <c r="C9" s="6" t="s">
        <v>8</v>
      </c>
      <c r="D9" s="6" t="n">
        <f aca="false">COUNT(E9:K9)</f>
        <v>5</v>
      </c>
      <c r="E9" s="5"/>
      <c r="F9" s="5" t="n">
        <v>1</v>
      </c>
      <c r="G9" s="5"/>
      <c r="H9" s="5" t="n">
        <v>2</v>
      </c>
      <c r="I9" s="5" t="n">
        <v>6</v>
      </c>
      <c r="J9" s="5" t="n">
        <v>2</v>
      </c>
      <c r="K9" s="5" t="n">
        <v>6</v>
      </c>
      <c r="L9" s="5"/>
    </row>
    <row r="10" customFormat="false" ht="15" hidden="false" customHeight="false" outlineLevel="0" collapsed="false">
      <c r="B10" s="6" t="n">
        <v>7</v>
      </c>
      <c r="C10" s="6" t="s">
        <v>12</v>
      </c>
      <c r="D10" s="6" t="n">
        <f aca="false">COUNT(E10:K10)</f>
        <v>3</v>
      </c>
      <c r="E10" s="5" t="n">
        <v>2</v>
      </c>
      <c r="F10" s="5"/>
      <c r="G10" s="5"/>
      <c r="H10" s="5"/>
      <c r="I10" s="5" t="n">
        <v>5</v>
      </c>
      <c r="J10" s="5" t="n">
        <v>1</v>
      </c>
      <c r="K10" s="5"/>
      <c r="L10" s="5"/>
    </row>
    <row r="11" customFormat="false" ht="15" hidden="false" customHeight="false" outlineLevel="0" collapsed="false">
      <c r="B11" s="6" t="n">
        <v>8</v>
      </c>
      <c r="C11" s="6" t="s">
        <v>18</v>
      </c>
      <c r="D11" s="6" t="n">
        <f aca="false">COUNT(E11:K11)</f>
        <v>4</v>
      </c>
      <c r="E11" s="5" t="n">
        <v>4</v>
      </c>
      <c r="F11" s="5"/>
      <c r="G11" s="5" t="n">
        <v>4</v>
      </c>
      <c r="H11" s="5"/>
      <c r="I11" s="5" t="n">
        <v>2</v>
      </c>
      <c r="J11" s="5"/>
      <c r="K11" s="5" t="n">
        <v>5</v>
      </c>
      <c r="L11" s="5"/>
    </row>
    <row r="12" customFormat="false" ht="15" hidden="false" customHeight="false" outlineLevel="0" collapsed="false">
      <c r="B12" s="6" t="n">
        <v>9</v>
      </c>
      <c r="C12" s="6" t="s">
        <v>20</v>
      </c>
      <c r="D12" s="6" t="n">
        <f aca="false">COUNT(E12:K12)</f>
        <v>4</v>
      </c>
      <c r="E12" s="5"/>
      <c r="F12" s="5" t="n">
        <v>3</v>
      </c>
      <c r="G12" s="5" t="n">
        <v>5</v>
      </c>
      <c r="H12" s="5"/>
      <c r="I12" s="5" t="n">
        <v>7</v>
      </c>
      <c r="J12" s="5"/>
      <c r="K12" s="5" t="n">
        <v>3</v>
      </c>
      <c r="L12" s="5"/>
    </row>
    <row r="13" customFormat="false" ht="15" hidden="false" customHeight="false" outlineLevel="0" collapsed="false">
      <c r="B13" s="6" t="n">
        <v>10</v>
      </c>
      <c r="C13" s="6" t="s">
        <v>13</v>
      </c>
      <c r="D13" s="6" t="n">
        <f aca="false">COUNT(E13:K13)</f>
        <v>3</v>
      </c>
      <c r="E13" s="5"/>
      <c r="F13" s="5"/>
      <c r="G13" s="5" t="n">
        <v>2</v>
      </c>
      <c r="H13" s="5"/>
      <c r="I13" s="5" t="n">
        <v>6</v>
      </c>
      <c r="J13" s="5" t="n">
        <v>5</v>
      </c>
      <c r="K13" s="5"/>
      <c r="L13" s="5"/>
    </row>
    <row r="14" customFormat="false" ht="15" hidden="false" customHeight="false" outlineLevel="0" collapsed="false">
      <c r="B14" s="6" t="n">
        <v>11</v>
      </c>
      <c r="C14" s="6" t="s">
        <v>19</v>
      </c>
      <c r="D14" s="6" t="n">
        <f aca="false">COUNT(E14:K14)</f>
        <v>5</v>
      </c>
      <c r="E14" s="5"/>
      <c r="F14" s="5" t="n">
        <v>4</v>
      </c>
      <c r="G14" s="5" t="n">
        <v>3</v>
      </c>
      <c r="H14" s="5" t="n">
        <v>5</v>
      </c>
      <c r="I14" s="5" t="n">
        <v>8</v>
      </c>
      <c r="J14" s="5" t="n">
        <v>6</v>
      </c>
      <c r="K14" s="5"/>
      <c r="L14" s="5"/>
    </row>
    <row r="15" customFormat="false" ht="15" hidden="false" customHeight="false" outlineLevel="0" collapsed="false">
      <c r="B15" s="6" t="n">
        <v>12</v>
      </c>
      <c r="C15" s="6" t="s">
        <v>21</v>
      </c>
      <c r="D15" s="6" t="n">
        <f aca="false">COUNT(E15:K15)</f>
        <v>2</v>
      </c>
      <c r="E15" s="5"/>
      <c r="F15" s="5"/>
      <c r="G15" s="5"/>
      <c r="H15" s="5"/>
      <c r="I15" s="5"/>
      <c r="J15" s="5" t="n">
        <v>2</v>
      </c>
      <c r="K15" s="5" t="n">
        <v>6</v>
      </c>
      <c r="L15" s="5"/>
    </row>
    <row r="16" customFormat="false" ht="15" hidden="false" customHeight="false" outlineLevel="0" collapsed="false">
      <c r="B16" s="6" t="n">
        <v>13</v>
      </c>
      <c r="C16" s="6" t="s">
        <v>16</v>
      </c>
      <c r="D16" s="6" t="n">
        <f aca="false">COUNT(E16:K16)</f>
        <v>2</v>
      </c>
      <c r="E16" s="5"/>
      <c r="F16" s="5"/>
      <c r="G16" s="5"/>
      <c r="H16" s="5"/>
      <c r="I16" s="5"/>
      <c r="J16" s="5" t="n">
        <v>5</v>
      </c>
      <c r="K16" s="5" t="n">
        <v>4</v>
      </c>
      <c r="L16" s="5"/>
    </row>
    <row r="17" customFormat="false" ht="15" hidden="false" customHeight="false" outlineLevel="0" collapsed="false">
      <c r="B17" s="6" t="n">
        <v>14</v>
      </c>
      <c r="C17" s="6" t="s">
        <v>23</v>
      </c>
      <c r="D17" s="6" t="n">
        <f aca="false">COUNT(E17:K17)</f>
        <v>2</v>
      </c>
      <c r="E17" s="5"/>
      <c r="F17" s="5" t="n">
        <v>3</v>
      </c>
      <c r="G17" s="5"/>
      <c r="H17" s="5"/>
      <c r="I17" s="5"/>
      <c r="J17" s="5" t="n">
        <v>4</v>
      </c>
      <c r="K17" s="5"/>
      <c r="L17" s="5"/>
    </row>
    <row r="18" customFormat="false" ht="15" hidden="false" customHeight="false" outlineLevel="0" collapsed="false">
      <c r="B18" s="6" t="n">
        <v>15</v>
      </c>
      <c r="C18" s="6" t="s">
        <v>22</v>
      </c>
      <c r="D18" s="6" t="n">
        <f aca="false">COUNT(E18:K18)</f>
        <v>3</v>
      </c>
      <c r="E18" s="5"/>
      <c r="F18" s="5"/>
      <c r="G18" s="5"/>
      <c r="H18" s="5"/>
      <c r="I18" s="5" t="n">
        <v>5</v>
      </c>
      <c r="J18" s="5" t="n">
        <v>7</v>
      </c>
      <c r="K18" s="5" t="n">
        <v>8</v>
      </c>
      <c r="L18" s="5"/>
    </row>
    <row r="19" customFormat="false" ht="15" hidden="false" customHeight="false" outlineLevel="0" collapsed="false">
      <c r="B19" s="6" t="n">
        <v>16</v>
      </c>
      <c r="C19" s="6" t="s">
        <v>17</v>
      </c>
      <c r="D19" s="6" t="n">
        <f aca="false">COUNT(E19:K19)</f>
        <v>3</v>
      </c>
      <c r="E19" s="5"/>
      <c r="F19" s="5" t="n">
        <v>5</v>
      </c>
      <c r="G19" s="5"/>
      <c r="H19" s="5" t="n">
        <v>2</v>
      </c>
      <c r="I19" s="5"/>
      <c r="J19" s="5" t="n">
        <v>7</v>
      </c>
      <c r="K19" s="5"/>
      <c r="L19" s="5"/>
    </row>
    <row r="20" customFormat="false" ht="15" hidden="false" customHeight="false" outlineLevel="0" collapsed="false">
      <c r="B20" s="6" t="n">
        <v>17</v>
      </c>
      <c r="C20" s="6" t="s">
        <v>24</v>
      </c>
      <c r="D20" s="6" t="n">
        <f aca="false">COUNT(E20:K20)</f>
        <v>3</v>
      </c>
      <c r="E20" s="5" t="n">
        <v>3</v>
      </c>
      <c r="F20" s="5"/>
      <c r="G20" s="5" t="n">
        <v>2</v>
      </c>
      <c r="H20" s="5"/>
      <c r="I20" s="5"/>
      <c r="J20" s="5" t="n">
        <v>8</v>
      </c>
      <c r="K20" s="5"/>
      <c r="L20" s="5"/>
    </row>
    <row r="21" customFormat="false" ht="15.75" hidden="false" customHeight="true" outlineLevel="0" collapsed="false">
      <c r="B21" s="6" t="n">
        <v>18</v>
      </c>
      <c r="C21" s="6" t="s">
        <v>26</v>
      </c>
      <c r="D21" s="6" t="n">
        <f aca="false">COUNT(E21:K21)</f>
        <v>2</v>
      </c>
      <c r="E21" s="5"/>
      <c r="F21" s="5" t="n">
        <v>2</v>
      </c>
      <c r="G21" s="5"/>
      <c r="H21" s="5" t="n">
        <v>2</v>
      </c>
      <c r="I21" s="5"/>
      <c r="J21" s="5"/>
      <c r="K21" s="5"/>
      <c r="L21" s="5"/>
    </row>
    <row r="22" customFormat="false" ht="15.75" hidden="false" customHeight="true" outlineLevel="0" collapsed="false">
      <c r="B22" s="6" t="n">
        <v>19</v>
      </c>
      <c r="C22" s="6" t="s">
        <v>15</v>
      </c>
      <c r="D22" s="6" t="n">
        <f aca="false">COUNT(E22:K22)</f>
        <v>1</v>
      </c>
      <c r="E22" s="5"/>
      <c r="F22" s="5"/>
      <c r="G22" s="5"/>
      <c r="H22" s="5"/>
      <c r="I22" s="5"/>
      <c r="J22" s="5"/>
      <c r="K22" s="5" t="n">
        <v>1</v>
      </c>
      <c r="L22" s="5"/>
    </row>
    <row r="23" customFormat="false" ht="15.75" hidden="false" customHeight="true" outlineLevel="0" collapsed="false">
      <c r="B23" s="6" t="n">
        <v>20</v>
      </c>
      <c r="C23" s="6" t="s">
        <v>28</v>
      </c>
      <c r="D23" s="6" t="n">
        <f aca="false">COUNT(E23:K23)</f>
        <v>3</v>
      </c>
      <c r="E23" s="5" t="n">
        <v>1</v>
      </c>
      <c r="F23" s="5"/>
      <c r="G23" s="5" t="n">
        <v>5</v>
      </c>
      <c r="H23" s="5"/>
      <c r="I23" s="5"/>
      <c r="J23" s="5"/>
      <c r="K23" s="5" t="n">
        <v>7</v>
      </c>
      <c r="L23" s="5"/>
    </row>
    <row r="24" customFormat="false" ht="15.75" hidden="false" customHeight="true" outlineLevel="0" collapsed="false">
      <c r="B24" s="6" t="n">
        <v>21</v>
      </c>
      <c r="C24" s="6" t="s">
        <v>29</v>
      </c>
      <c r="D24" s="6" t="n">
        <f aca="false">COUNT(E24:K24)</f>
        <v>1</v>
      </c>
      <c r="E24" s="5"/>
      <c r="F24" s="5"/>
      <c r="G24" s="5"/>
      <c r="H24" s="5"/>
      <c r="I24" s="5" t="n">
        <v>2</v>
      </c>
      <c r="J24" s="5"/>
      <c r="K24" s="5"/>
      <c r="L24" s="5"/>
    </row>
    <row r="25" customFormat="false" ht="15.75" hidden="false" customHeight="true" outlineLevel="0" collapsed="false">
      <c r="B25" s="6" t="n">
        <v>22</v>
      </c>
      <c r="C25" s="6" t="s">
        <v>14</v>
      </c>
      <c r="D25" s="6" t="n">
        <f aca="false">COUNT(E25:K25)</f>
        <v>1</v>
      </c>
      <c r="E25" s="5"/>
      <c r="F25" s="5"/>
      <c r="G25" s="5"/>
      <c r="H25" s="5"/>
      <c r="I25" s="5"/>
      <c r="J25" s="5" t="n">
        <v>3</v>
      </c>
      <c r="K25" s="5"/>
      <c r="L25" s="5"/>
    </row>
    <row r="26" customFormat="false" ht="15.75" hidden="false" customHeight="true" outlineLevel="0" collapsed="false">
      <c r="B26" s="6" t="n">
        <v>23</v>
      </c>
      <c r="C26" s="6" t="s">
        <v>30</v>
      </c>
      <c r="D26" s="6" t="n">
        <f aca="false">COUNT(E26:K26)</f>
        <v>1</v>
      </c>
      <c r="E26" s="5"/>
      <c r="F26" s="5"/>
      <c r="G26" s="5"/>
      <c r="H26" s="5"/>
      <c r="I26" s="5"/>
      <c r="J26" s="5"/>
      <c r="K26" s="5" t="n">
        <v>2</v>
      </c>
      <c r="L26" s="5"/>
    </row>
    <row r="27" customFormat="false" ht="15.75" hidden="false" customHeight="true" outlineLevel="0" collapsed="false">
      <c r="B27" s="6" t="n">
        <v>24</v>
      </c>
      <c r="C27" s="6" t="s">
        <v>31</v>
      </c>
      <c r="D27" s="6" t="n">
        <f aca="false">COUNT(E27:K27)</f>
        <v>2</v>
      </c>
      <c r="E27" s="5"/>
      <c r="F27" s="5" t="n">
        <v>3</v>
      </c>
      <c r="G27" s="5"/>
      <c r="H27" s="5" t="n">
        <v>4</v>
      </c>
      <c r="I27" s="5"/>
      <c r="J27" s="5"/>
      <c r="K27" s="5"/>
      <c r="L27" s="5"/>
    </row>
    <row r="28" customFormat="false" ht="15.75" hidden="false" customHeight="true" outlineLevel="0" collapsed="false">
      <c r="B28" s="6" t="n">
        <v>25</v>
      </c>
      <c r="C28" s="6" t="s">
        <v>32</v>
      </c>
      <c r="D28" s="6" t="n">
        <f aca="false">COUNT(E28:K28)</f>
        <v>1</v>
      </c>
      <c r="E28" s="5"/>
      <c r="F28" s="5"/>
      <c r="G28" s="5"/>
      <c r="H28" s="5"/>
      <c r="I28" s="5" t="n">
        <v>4</v>
      </c>
      <c r="J28" s="5"/>
      <c r="K28" s="5"/>
      <c r="L28" s="5"/>
    </row>
    <row r="29" customFormat="false" ht="15.75" hidden="false" customHeight="true" outlineLevel="0" collapsed="false">
      <c r="B29" s="6" t="n">
        <v>26</v>
      </c>
      <c r="C29" s="6" t="s">
        <v>33</v>
      </c>
      <c r="D29" s="6" t="n">
        <f aca="false">COUNT(E29:K29)</f>
        <v>1</v>
      </c>
      <c r="E29" s="5"/>
      <c r="F29" s="5"/>
      <c r="G29" s="5"/>
      <c r="H29" s="5"/>
      <c r="I29" s="5" t="n">
        <v>4</v>
      </c>
      <c r="J29" s="5"/>
      <c r="K29" s="5"/>
      <c r="L29" s="5"/>
    </row>
    <row r="30" customFormat="false" ht="15.75" hidden="false" customHeight="true" outlineLevel="0" collapsed="false">
      <c r="B30" s="6" t="n">
        <v>27</v>
      </c>
      <c r="C30" s="6" t="s">
        <v>25</v>
      </c>
      <c r="D30" s="6" t="n">
        <f aca="false">COUNT(E30:K30)</f>
        <v>2</v>
      </c>
      <c r="E30" s="5"/>
      <c r="F30" s="5"/>
      <c r="G30" s="5"/>
      <c r="H30" s="5" t="n">
        <v>5</v>
      </c>
      <c r="I30" s="5"/>
      <c r="J30" s="5"/>
      <c r="K30" s="5" t="n">
        <v>5</v>
      </c>
      <c r="L30" s="5"/>
    </row>
    <row r="31" customFormat="false" ht="15.75" hidden="false" customHeight="true" outlineLevel="0" collapsed="false">
      <c r="B31" s="6" t="n">
        <v>28</v>
      </c>
      <c r="C31" s="6" t="s">
        <v>36</v>
      </c>
      <c r="D31" s="6" t="n">
        <f aca="false">COUNT(E31:K31)</f>
        <v>1</v>
      </c>
      <c r="E31" s="5"/>
      <c r="F31" s="5"/>
      <c r="G31" s="5"/>
      <c r="H31" s="5"/>
      <c r="I31" s="5"/>
      <c r="J31" s="5" t="n">
        <v>8</v>
      </c>
      <c r="K31" s="5"/>
      <c r="L31" s="5"/>
    </row>
    <row r="32" customFormat="false" ht="15.75" hidden="false" customHeight="true" outlineLevel="0" collapsed="false">
      <c r="B32" s="6" t="n">
        <v>29</v>
      </c>
      <c r="C32" s="6" t="s">
        <v>37</v>
      </c>
      <c r="D32" s="6" t="n">
        <f aca="false">COUNT(E32:K32)</f>
        <v>1</v>
      </c>
      <c r="E32" s="5"/>
      <c r="F32" s="5"/>
      <c r="G32" s="5"/>
      <c r="H32" s="5"/>
      <c r="I32" s="5"/>
      <c r="J32" s="5"/>
      <c r="K32" s="5" t="n">
        <v>7</v>
      </c>
      <c r="L32" s="5"/>
    </row>
    <row r="33" customFormat="false" ht="15.75" hidden="false" customHeight="true" outlineLevel="0" collapsed="false">
      <c r="B33" s="6" t="n">
        <v>30</v>
      </c>
      <c r="C33" s="6" t="s">
        <v>57</v>
      </c>
      <c r="D33" s="6" t="n">
        <f aca="false">COUNT(E33:K33)</f>
        <v>1</v>
      </c>
      <c r="E33" s="5"/>
      <c r="F33" s="5"/>
      <c r="G33" s="5"/>
      <c r="H33" s="5"/>
      <c r="I33" s="5"/>
      <c r="J33" s="5" t="n">
        <v>9</v>
      </c>
      <c r="K33" s="5"/>
      <c r="L33" s="5"/>
    </row>
    <row r="34" customFormat="false" ht="15.75" hidden="false" customHeight="true" outlineLevel="0" collapsed="false">
      <c r="B34" s="6" t="n">
        <v>31</v>
      </c>
      <c r="C34" s="6" t="s">
        <v>38</v>
      </c>
      <c r="D34" s="6" t="n">
        <f aca="false">COUNT(E34:K34)</f>
        <v>1</v>
      </c>
      <c r="E34" s="5"/>
      <c r="F34" s="5"/>
      <c r="G34" s="5"/>
      <c r="H34" s="5"/>
      <c r="I34" s="5"/>
      <c r="J34" s="5" t="n">
        <v>9</v>
      </c>
      <c r="K34" s="5"/>
      <c r="L34" s="5"/>
    </row>
    <row r="35" customFormat="false" ht="15.75" hidden="false" customHeight="true" outlineLevel="0" collapsed="false">
      <c r="B35" s="6" t="n">
        <v>32</v>
      </c>
      <c r="C35" s="6" t="s">
        <v>27</v>
      </c>
      <c r="D35" s="6" t="n">
        <f aca="false">COUNT(E35:K35)</f>
        <v>1</v>
      </c>
      <c r="E35" s="5" t="n">
        <v>4</v>
      </c>
      <c r="F35" s="5"/>
      <c r="G35" s="5"/>
      <c r="H35" s="5"/>
      <c r="I35" s="5"/>
      <c r="J35" s="5"/>
      <c r="K35" s="5"/>
      <c r="L35" s="5"/>
    </row>
    <row r="36" customFormat="false" ht="15.75" hidden="false" customHeight="true" outlineLevel="0" collapsed="false">
      <c r="B36" s="6" t="n">
        <v>33</v>
      </c>
      <c r="C36" s="6" t="s">
        <v>40</v>
      </c>
      <c r="D36" s="6" t="n">
        <f aca="false">COUNT(E36:K36)</f>
        <v>1</v>
      </c>
      <c r="E36" s="5"/>
      <c r="F36" s="5"/>
      <c r="G36" s="5"/>
      <c r="H36" s="5"/>
      <c r="I36" s="5" t="n">
        <v>8</v>
      </c>
      <c r="J36" s="5"/>
      <c r="K36" s="5"/>
      <c r="L36" s="5"/>
    </row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LibreOffice/25.2.4.1$Windows_X86_64 LibreOffice_project/09303ce8b49f86f106fccd32b1324662053027cc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2024-08-27T07:47:56Z</dcterms:created>
  <dc:creator>Braun, Jason</dc:creator>
  <dc:description/>
  <dc:language>de-CH</dc:language>
  <cp:lastModifiedBy/>
  <dcterms:modified xsi:type="dcterms:W3CDTF">2025-08-07T22:45:01Z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